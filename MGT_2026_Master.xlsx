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F1" sheetId="1" state="visible" r:id="rId1"/>
    <sheet xmlns:r="http://schemas.openxmlformats.org/officeDocument/2006/relationships" name="F2" sheetId="2" state="visible" r:id="rId2"/>
    <sheet xmlns:r="http://schemas.openxmlformats.org/officeDocument/2006/relationships" name="F3" sheetId="3" state="visible" r:id="rId3"/>
    <sheet xmlns:r="http://schemas.openxmlformats.org/officeDocument/2006/relationships" name="F5" sheetId="4" state="visible" r:id="rId4"/>
    <sheet xmlns:r="http://schemas.openxmlformats.org/officeDocument/2006/relationships" name="F6" sheetId="5" state="visible" r:id="rId5"/>
    <sheet xmlns:r="http://schemas.openxmlformats.org/officeDocument/2006/relationships" name="Match" sheetId="6" state="visible" r:id="rId6"/>
    <sheet xmlns:r="http://schemas.openxmlformats.org/officeDocument/2006/relationships" name="Gross_Historial" sheetId="7" state="visible" r:id="rId7"/>
    <sheet xmlns:r="http://schemas.openxmlformats.org/officeDocument/2006/relationships" name="Medal_Calc" sheetId="8" state="visible" r:id="rId8"/>
    <sheet xmlns:r="http://schemas.openxmlformats.org/officeDocument/2006/relationships" name="Medal_Fechas" sheetId="9" state="visible" r:id="rId9"/>
    <sheet xmlns:r="http://schemas.openxmlformats.org/officeDocument/2006/relationships" name="Medal_Consolidado" sheetId="10" state="visible" r:id="rId10"/>
    <sheet xmlns:r="http://schemas.openxmlformats.org/officeDocument/2006/relationships" name="Fixture" sheetId="11" state="visible" r:id="rId11"/>
    <sheet xmlns:r="http://schemas.openxmlformats.org/officeDocument/2006/relationships" name="Historico" sheetId="12" state="visible" r:id="rId12"/>
    <sheet xmlns:r="http://schemas.openxmlformats.org/officeDocument/2006/relationships" name="Jugadores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C9A84C"/>
      <sz val="14"/>
    </font>
    <font>
      <name val="Calibri"/>
      <charset val="1"/>
      <family val="2"/>
      <i val="1"/>
      <color rgb="FF666666"/>
      <sz val="11"/>
    </font>
    <font>
      <name val="Calibri"/>
      <charset val="1"/>
      <family val="2"/>
      <color rgb="FF888888"/>
      <sz val="9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C9A84C"/>
      <sz val="11"/>
    </font>
    <font>
      <name val="Calibri"/>
      <charset val="1"/>
      <family val="2"/>
      <b val="1"/>
      <color rgb="FFC9A84C"/>
      <sz val="13"/>
    </font>
    <font>
      <name val="Calibri"/>
      <charset val="1"/>
      <family val="2"/>
      <b val="1"/>
      <color rgb="FFC9A84C"/>
      <sz val="9"/>
    </font>
    <font>
      <name val="Calibri"/>
      <charset val="1"/>
      <family val="2"/>
      <sz val="9"/>
    </font>
  </fonts>
  <fills count="6">
    <fill>
      <patternFill/>
    </fill>
    <fill>
      <patternFill patternType="gray125"/>
    </fill>
    <fill>
      <patternFill patternType="solid">
        <fgColor rgb="FF0A1430"/>
        <bgColor rgb="FF000000"/>
      </patternFill>
    </fill>
    <fill>
      <patternFill patternType="solid">
        <fgColor rgb="FFF0F0F0"/>
        <bgColor rgb="FFFFF5E0"/>
      </patternFill>
    </fill>
    <fill>
      <patternFill patternType="solid">
        <fgColor rgb="FFFFF5E0"/>
        <bgColor rgb="FFF0F0F0"/>
      </patternFill>
    </fill>
    <fill>
      <patternFill patternType="solid">
        <fgColor rgb="FFD9EAD3"/>
        <bgColor rgb="FFF0F0F0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7" fillId="3" borderId="0" applyAlignment="1" pivotButton="0" quotePrefix="0" xfId="0">
      <alignment horizontal="center" vertical="bottom"/>
    </xf>
    <xf numFmtId="0" fontId="8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5" borderId="1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7" fillId="3" borderId="0" applyAlignment="1" pivotButton="0" quotePrefix="0" xfId="0">
      <alignment horizontal="center" vertical="bottom"/>
    </xf>
    <xf numFmtId="0" fontId="8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bottom"/>
    </xf>
    <xf numFmtId="0" fontId="9" fillId="2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5" pivotButton="0" quotePrefix="0" xfId="0"/>
    <xf numFmtId="0" fontId="0" fillId="0" borderId="3" pivotButton="0" quotePrefix="0" xfId="0"/>
    <xf numFmtId="0" fontId="0" fillId="5" borderId="1" applyAlignment="1" pivotButton="0" quotePrefix="0" xfId="0">
      <alignment horizontal="center" vertical="bottom"/>
    </xf>
    <xf numFmtId="0" fontId="0" fillId="0" borderId="8" pivotButton="0" quotePrefix="0" xfId="0"/>
    <xf numFmtId="0" fontId="0" fillId="0" borderId="9" pivotButton="0" quotePrefix="0" xfId="0"/>
    <xf numFmtId="0" fontId="0" fillId="2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0F0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5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C9A84C"/>
      <rgbColor rgb="FF003366"/>
      <rgbColor rgb="FF339966"/>
      <rgbColor rgb="FF0A143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Y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K40" activeCellId="0" sqref="K40"/>
    </sheetView>
  </sheetViews>
  <sheetFormatPr baseColWidth="8" defaultColWidth="8.83203125" defaultRowHeight="15" customHeight="0" zeroHeight="0" outlineLevelRow="0"/>
  <cols>
    <col width="22" customWidth="1" style="21" min="1" max="1"/>
    <col width="8" customWidth="1" style="21" min="2" max="2"/>
    <col width="5" customWidth="1" style="21" min="3" max="20"/>
    <col width="8" customWidth="1" style="21" min="21" max="21"/>
    <col width="9" customWidth="1" style="21" min="22" max="22"/>
    <col width="10" customWidth="1" style="21" min="23" max="23"/>
    <col width="7" customWidth="1" style="21" min="24" max="24"/>
  </cols>
  <sheetData>
    <row r="1" ht="27.75" customHeight="1" s="22">
      <c r="A1" s="23" t="inlineStr">
        <is>
          <t>FECHA 1 — 14-mar-2026 — CUBA Fátima</t>
        </is>
      </c>
    </row>
    <row r="2" ht="15" customHeight="1" s="22">
      <c r="A2" s="24" t="inlineStr">
        <is>
          <t>Par 72 | Organizadores: Gatto + Zunino</t>
        </is>
      </c>
    </row>
    <row r="5" ht="15" customHeight="1" s="22">
      <c r="A5" s="21" t="inlineStr">
        <is>
          <t>HCP</t>
        </is>
      </c>
      <c r="B5" s="21" t="inlineStr">
        <is>
          <t>cancha</t>
        </is>
      </c>
      <c r="C5" s="25" t="n">
        <v>5</v>
      </c>
      <c r="D5" s="25" t="n">
        <v>15</v>
      </c>
      <c r="E5" s="25" t="n">
        <v>1</v>
      </c>
      <c r="F5" s="25" t="n">
        <v>7</v>
      </c>
      <c r="G5" s="25" t="n">
        <v>11</v>
      </c>
      <c r="H5" s="25" t="n">
        <v>3</v>
      </c>
      <c r="I5" s="25" t="n">
        <v>17</v>
      </c>
      <c r="J5" s="25" t="n">
        <v>13</v>
      </c>
      <c r="K5" s="25" t="n">
        <v>9</v>
      </c>
      <c r="L5" s="25" t="n">
        <v>14</v>
      </c>
      <c r="M5" s="25" t="n">
        <v>10</v>
      </c>
      <c r="N5" s="25" t="n">
        <v>2</v>
      </c>
      <c r="O5" s="25" t="n">
        <v>6</v>
      </c>
      <c r="P5" s="25" t="n">
        <v>16</v>
      </c>
      <c r="Q5" s="25" t="n">
        <v>4</v>
      </c>
      <c r="R5" s="25" t="n">
        <v>12</v>
      </c>
      <c r="S5" s="25" t="n">
        <v>18</v>
      </c>
      <c r="T5" s="25" t="n">
        <v>8</v>
      </c>
    </row>
    <row r="6" ht="15" customHeight="1" s="22">
      <c r="A6" s="21" t="inlineStr">
        <is>
          <t>PAR</t>
        </is>
      </c>
      <c r="C6" s="26" t="n">
        <v>5</v>
      </c>
      <c r="D6" s="26" t="n">
        <v>3</v>
      </c>
      <c r="E6" s="26" t="n">
        <v>4</v>
      </c>
      <c r="F6" s="26" t="n">
        <v>5</v>
      </c>
      <c r="G6" s="26" t="n">
        <v>4</v>
      </c>
      <c r="H6" s="26" t="n">
        <v>4</v>
      </c>
      <c r="I6" s="26" t="n">
        <v>3</v>
      </c>
      <c r="J6" s="26" t="n">
        <v>4</v>
      </c>
      <c r="K6" s="26" t="n">
        <v>4</v>
      </c>
      <c r="L6" s="26" t="n">
        <v>4</v>
      </c>
      <c r="M6" s="26" t="n">
        <v>5</v>
      </c>
      <c r="N6" s="26" t="n">
        <v>4</v>
      </c>
      <c r="O6" s="26" t="n">
        <v>4</v>
      </c>
      <c r="P6" s="26" t="n">
        <v>3</v>
      </c>
      <c r="Q6" s="26" t="n">
        <v>4</v>
      </c>
      <c r="R6" s="26" t="n">
        <v>4</v>
      </c>
      <c r="S6" s="26" t="n">
        <v>3</v>
      </c>
      <c r="T6" s="26" t="n">
        <v>5</v>
      </c>
    </row>
    <row r="7" ht="24" customHeight="1" s="22">
      <c r="A7" s="27" t="inlineStr">
        <is>
          <t>Jugador</t>
        </is>
      </c>
      <c r="B7" s="27" t="inlineStr">
        <is>
          <t>Equipo</t>
        </is>
      </c>
      <c r="C7" s="27" t="inlineStr">
        <is>
          <t>H1</t>
        </is>
      </c>
      <c r="D7" s="27" t="inlineStr">
        <is>
          <t>H2</t>
        </is>
      </c>
      <c r="E7" s="27" t="inlineStr">
        <is>
          <t>H3</t>
        </is>
      </c>
      <c r="F7" s="27" t="inlineStr">
        <is>
          <t>H4</t>
        </is>
      </c>
      <c r="G7" s="27" t="inlineStr">
        <is>
          <t>H5</t>
        </is>
      </c>
      <c r="H7" s="27" t="inlineStr">
        <is>
          <t>H6</t>
        </is>
      </c>
      <c r="I7" s="27" t="inlineStr">
        <is>
          <t>H7</t>
        </is>
      </c>
      <c r="J7" s="27" t="inlineStr">
        <is>
          <t>H8</t>
        </is>
      </c>
      <c r="K7" s="27" t="inlineStr">
        <is>
          <t>H9</t>
        </is>
      </c>
      <c r="L7" s="27" t="inlineStr">
        <is>
          <t>H10</t>
        </is>
      </c>
      <c r="M7" s="27" t="inlineStr">
        <is>
          <t>H11</t>
        </is>
      </c>
      <c r="N7" s="27" t="inlineStr">
        <is>
          <t>H12</t>
        </is>
      </c>
      <c r="O7" s="27" t="inlineStr">
        <is>
          <t>H13</t>
        </is>
      </c>
      <c r="P7" s="27" t="inlineStr">
        <is>
          <t>H14</t>
        </is>
      </c>
      <c r="Q7" s="27" t="inlineStr">
        <is>
          <t>H15</t>
        </is>
      </c>
      <c r="R7" s="27" t="inlineStr">
        <is>
          <t>H16</t>
        </is>
      </c>
      <c r="S7" s="27" t="inlineStr">
        <is>
          <t>H17</t>
        </is>
      </c>
      <c r="T7" s="27" t="inlineStr">
        <is>
          <t>H18</t>
        </is>
      </c>
      <c r="U7" s="27" t="inlineStr">
        <is>
          <t>Gross</t>
        </is>
      </c>
      <c r="V7" s="27" t="inlineStr">
        <is>
          <t>Hdcp día</t>
        </is>
      </c>
      <c r="W7" s="27" t="inlineStr">
        <is>
          <t>Hdcp aplic</t>
        </is>
      </c>
      <c r="X7" s="27" t="inlineStr">
        <is>
          <t>Neto</t>
        </is>
      </c>
    </row>
    <row r="8" ht="15" customHeight="1" s="22">
      <c r="A8" s="28" t="inlineStr">
        <is>
          <t>Gonzalez, Agus</t>
        </is>
      </c>
      <c r="B8" s="28" t="inlineStr">
        <is>
          <t>GRIS</t>
        </is>
      </c>
      <c r="C8" s="29" t="n">
        <v>5</v>
      </c>
      <c r="D8" s="29" t="n">
        <v>4</v>
      </c>
      <c r="E8" s="29" t="n">
        <v>5</v>
      </c>
      <c r="F8" s="29" t="n">
        <v>6</v>
      </c>
      <c r="G8" s="29" t="n">
        <v>5</v>
      </c>
      <c r="H8" s="29" t="n">
        <v>5</v>
      </c>
      <c r="I8" s="29" t="n">
        <v>3</v>
      </c>
      <c r="J8" s="29" t="n">
        <v>6</v>
      </c>
      <c r="K8" s="29" t="n">
        <v>6</v>
      </c>
      <c r="L8" s="29" t="n">
        <v>5</v>
      </c>
      <c r="M8" s="29" t="n">
        <v>7</v>
      </c>
      <c r="N8" s="29" t="n">
        <v>4</v>
      </c>
      <c r="O8" s="29" t="n">
        <v>6</v>
      </c>
      <c r="P8" s="29" t="n">
        <v>3</v>
      </c>
      <c r="Q8" s="29" t="n">
        <v>4</v>
      </c>
      <c r="R8" s="29" t="n">
        <v>4</v>
      </c>
      <c r="S8" s="29" t="n">
        <v>4</v>
      </c>
      <c r="T8" s="29" t="n">
        <v>4</v>
      </c>
      <c r="U8" s="28">
        <f>IF(COUNT(C8:T8)=18,SUM(C8:T8),"")</f>
        <v/>
      </c>
      <c r="V8" s="28" t="n">
        <v>8</v>
      </c>
      <c r="W8" s="28">
        <f>IF(V8="","",MIN(V8,26))</f>
        <v/>
      </c>
      <c r="X8" s="28">
        <f>IF(OR(U8="",W8=""),"",U8-W8)</f>
        <v/>
      </c>
    </row>
    <row r="9" ht="15" customHeight="1" s="22">
      <c r="A9" s="28" t="inlineStr">
        <is>
          <t>Tarasido, Gonzalo</t>
        </is>
      </c>
      <c r="B9" s="28" t="inlineStr">
        <is>
          <t>GRIS</t>
        </is>
      </c>
      <c r="C9" s="29" t="n">
        <v>4</v>
      </c>
      <c r="D9" s="29" t="n">
        <v>4</v>
      </c>
      <c r="E9" s="29" t="n">
        <v>7</v>
      </c>
      <c r="F9" s="29" t="n">
        <v>5</v>
      </c>
      <c r="G9" s="29" t="n">
        <v>4</v>
      </c>
      <c r="H9" s="29" t="n">
        <v>5</v>
      </c>
      <c r="I9" s="29" t="n">
        <v>3</v>
      </c>
      <c r="J9" s="29" t="n">
        <v>3</v>
      </c>
      <c r="K9" s="29" t="n">
        <v>4</v>
      </c>
      <c r="L9" s="29" t="n">
        <v>5</v>
      </c>
      <c r="M9" s="29" t="n">
        <v>5</v>
      </c>
      <c r="N9" s="29" t="n">
        <v>5</v>
      </c>
      <c r="O9" s="29" t="n">
        <v>6</v>
      </c>
      <c r="P9" s="29" t="n">
        <v>5</v>
      </c>
      <c r="Q9" s="29" t="n">
        <v>6</v>
      </c>
      <c r="R9" s="29" t="n">
        <v>4</v>
      </c>
      <c r="S9" s="29" t="n">
        <v>4</v>
      </c>
      <c r="T9" s="29" t="n">
        <v>7</v>
      </c>
      <c r="U9" s="28">
        <f>IF(COUNT(C9:T9)=18,SUM(C9:T9),"")</f>
        <v/>
      </c>
      <c r="V9" s="28" t="n">
        <v>11</v>
      </c>
      <c r="W9" s="28">
        <f>IF(V9="","",MIN(V9,26))</f>
        <v/>
      </c>
      <c r="X9" s="28">
        <f>IF(OR(U9="",W9=""),"",U9-W9)</f>
        <v/>
      </c>
    </row>
    <row r="10" ht="15" customHeight="1" s="22">
      <c r="A10" s="28" t="inlineStr">
        <is>
          <t>Zunino, Javi</t>
        </is>
      </c>
      <c r="B10" s="28" t="inlineStr">
        <is>
          <t>GRIS</t>
        </is>
      </c>
      <c r="C10" s="29" t="n">
        <v>7</v>
      </c>
      <c r="D10" s="29" t="n">
        <v>4</v>
      </c>
      <c r="E10" s="29" t="n">
        <v>4</v>
      </c>
      <c r="F10" s="29" t="n">
        <v>6</v>
      </c>
      <c r="G10" s="29" t="n">
        <v>7</v>
      </c>
      <c r="H10" s="29" t="n">
        <v>4</v>
      </c>
      <c r="I10" s="29" t="n">
        <v>4</v>
      </c>
      <c r="J10" s="29" t="n">
        <v>5</v>
      </c>
      <c r="K10" s="29" t="n">
        <v>4</v>
      </c>
      <c r="L10" s="29" t="n">
        <v>4</v>
      </c>
      <c r="M10" s="29" t="n">
        <v>5</v>
      </c>
      <c r="N10" s="29" t="n">
        <v>5</v>
      </c>
      <c r="O10" s="29" t="n">
        <v>4</v>
      </c>
      <c r="P10" s="29" t="n">
        <v>5</v>
      </c>
      <c r="Q10" s="29" t="n">
        <v>4</v>
      </c>
      <c r="R10" s="29" t="n">
        <v>4</v>
      </c>
      <c r="S10" s="29" t="n">
        <v>4</v>
      </c>
      <c r="T10" s="29" t="n">
        <v>7</v>
      </c>
      <c r="U10" s="28">
        <f>IF(COUNT(C10:T10)=18,SUM(C10:T10),"")</f>
        <v/>
      </c>
      <c r="V10" s="28" t="n">
        <v>15</v>
      </c>
      <c r="W10" s="28">
        <f>IF(V10="","",MIN(V10,26))</f>
        <v/>
      </c>
      <c r="X10" s="28">
        <f>IF(OR(U10="",W10=""),"",U10-W10)</f>
        <v/>
      </c>
    </row>
    <row r="11" ht="15" customHeight="1" s="22">
      <c r="A11" s="28" t="inlineStr">
        <is>
          <t>Basaldua, Ignacio</t>
        </is>
      </c>
      <c r="B11" s="28" t="inlineStr">
        <is>
          <t>GRIS</t>
        </is>
      </c>
      <c r="C11" s="29" t="n">
        <v>7</v>
      </c>
      <c r="D11" s="29" t="n">
        <v>3</v>
      </c>
      <c r="E11" s="29" t="n">
        <v>6</v>
      </c>
      <c r="F11" s="29" t="n">
        <v>6</v>
      </c>
      <c r="G11" s="29" t="n">
        <v>7</v>
      </c>
      <c r="H11" s="29" t="n">
        <v>5</v>
      </c>
      <c r="I11" s="29" t="n">
        <v>3</v>
      </c>
      <c r="J11" s="29" t="n">
        <v>5</v>
      </c>
      <c r="K11" s="29" t="n">
        <v>6</v>
      </c>
      <c r="L11" s="29" t="n">
        <v>5</v>
      </c>
      <c r="M11" s="29" t="n">
        <v>8</v>
      </c>
      <c r="N11" s="29" t="n">
        <v>6</v>
      </c>
      <c r="O11" s="29" t="n">
        <v>6</v>
      </c>
      <c r="P11" s="29" t="n">
        <v>3</v>
      </c>
      <c r="Q11" s="29" t="n">
        <v>5</v>
      </c>
      <c r="R11" s="29" t="n">
        <v>6</v>
      </c>
      <c r="S11" s="29" t="n">
        <v>3</v>
      </c>
      <c r="T11" s="29" t="n">
        <v>6</v>
      </c>
      <c r="U11" s="28">
        <f>IF(COUNT(C11:T11)=18,SUM(C11:T11),"")</f>
        <v/>
      </c>
      <c r="V11" s="28" t="n">
        <v>17</v>
      </c>
      <c r="W11" s="28">
        <f>IF(V11="","",MIN(V11,26))</f>
        <v/>
      </c>
      <c r="X11" s="28">
        <f>IF(OR(U11="",W11=""),"",U11-W11)</f>
        <v/>
      </c>
    </row>
    <row r="12" ht="15" customHeight="1" s="22">
      <c r="A12" s="28" t="inlineStr">
        <is>
          <t>Pannullo, Tincho</t>
        </is>
      </c>
      <c r="B12" s="28" t="inlineStr">
        <is>
          <t>GRIS</t>
        </is>
      </c>
      <c r="C12" s="29" t="n">
        <v>5</v>
      </c>
      <c r="D12" s="29" t="n">
        <v>4</v>
      </c>
      <c r="E12" s="29" t="n">
        <v>5</v>
      </c>
      <c r="F12" s="29" t="n">
        <v>8</v>
      </c>
      <c r="G12" s="29" t="n">
        <v>5</v>
      </c>
      <c r="H12" s="29" t="n">
        <v>6</v>
      </c>
      <c r="I12" s="29" t="n">
        <v>5</v>
      </c>
      <c r="J12" s="29" t="n">
        <v>7</v>
      </c>
      <c r="K12" s="29" t="n">
        <v>4</v>
      </c>
      <c r="L12" s="29" t="n">
        <v>6</v>
      </c>
      <c r="M12" s="29" t="n">
        <v>7</v>
      </c>
      <c r="N12" s="29" t="n">
        <v>5</v>
      </c>
      <c r="O12" s="29" t="n">
        <v>5</v>
      </c>
      <c r="P12" s="29" t="n">
        <v>3</v>
      </c>
      <c r="Q12" s="29" t="n">
        <v>7</v>
      </c>
      <c r="R12" s="29" t="n">
        <v>5</v>
      </c>
      <c r="S12" s="29" t="n">
        <v>5</v>
      </c>
      <c r="T12" s="29" t="n">
        <v>5</v>
      </c>
      <c r="U12" s="28">
        <f>IF(COUNT(C12:T12)=18,SUM(C12:T12),"")</f>
        <v/>
      </c>
      <c r="V12" s="28" t="n">
        <v>15</v>
      </c>
      <c r="W12" s="28">
        <f>IF(V12="","",MIN(V12,26))</f>
        <v/>
      </c>
      <c r="X12" s="28">
        <f>IF(OR(U12="",W12=""),"",U12-W12)</f>
        <v/>
      </c>
    </row>
    <row r="13" ht="15" customHeight="1" s="22">
      <c r="A13" s="28" t="inlineStr">
        <is>
          <t>Benegas, Pancho</t>
        </is>
      </c>
      <c r="B13" s="28" t="inlineStr">
        <is>
          <t>GRIS</t>
        </is>
      </c>
      <c r="C13" s="29" t="n">
        <v>7</v>
      </c>
      <c r="D13" s="29" t="n">
        <v>4</v>
      </c>
      <c r="E13" s="29" t="n">
        <v>8</v>
      </c>
      <c r="F13" s="29" t="n">
        <v>8</v>
      </c>
      <c r="G13" s="29" t="n">
        <v>5</v>
      </c>
      <c r="H13" s="29" t="n">
        <v>7</v>
      </c>
      <c r="I13" s="29" t="n">
        <v>6</v>
      </c>
      <c r="J13" s="29" t="n">
        <v>7</v>
      </c>
      <c r="K13" s="29" t="n">
        <v>5</v>
      </c>
      <c r="L13" s="29" t="n">
        <v>6</v>
      </c>
      <c r="M13" s="29" t="n">
        <v>8</v>
      </c>
      <c r="N13" s="29" t="n">
        <v>5</v>
      </c>
      <c r="O13" s="29" t="n">
        <v>7</v>
      </c>
      <c r="P13" s="29" t="n">
        <v>4</v>
      </c>
      <c r="Q13" s="29" t="n">
        <v>5</v>
      </c>
      <c r="R13" s="29" t="n">
        <v>6</v>
      </c>
      <c r="S13" s="29" t="n">
        <v>6</v>
      </c>
      <c r="T13" s="29" t="n">
        <v>7</v>
      </c>
      <c r="U13" s="28">
        <f>IF(COUNT(C13:T13)=18,SUM(C13:T13),"")</f>
        <v/>
      </c>
      <c r="V13" s="28" t="n">
        <v>19</v>
      </c>
      <c r="W13" s="28">
        <f>IF(V13="","",MIN(V13,26))</f>
        <v/>
      </c>
      <c r="X13" s="28">
        <f>IF(OR(U13="",W13=""),"",U13-W13)</f>
        <v/>
      </c>
    </row>
    <row r="14" ht="15" customHeight="1" s="22">
      <c r="A14" s="28" t="inlineStr">
        <is>
          <t>Guevara, Franki</t>
        </is>
      </c>
      <c r="B14" s="28" t="inlineStr">
        <is>
          <t>GRIS</t>
        </is>
      </c>
      <c r="C14" s="29" t="n">
        <v>5</v>
      </c>
      <c r="D14" s="29" t="n">
        <v>3</v>
      </c>
      <c r="E14" s="29" t="n">
        <v>6</v>
      </c>
      <c r="F14" s="29" t="n">
        <v>7</v>
      </c>
      <c r="G14" s="29" t="n">
        <v>5</v>
      </c>
      <c r="H14" s="29" t="n">
        <v>5</v>
      </c>
      <c r="I14" s="29" t="n">
        <v>4</v>
      </c>
      <c r="J14" s="29" t="n">
        <v>5</v>
      </c>
      <c r="K14" s="29" t="n">
        <v>4</v>
      </c>
      <c r="L14" s="29" t="n">
        <v>4</v>
      </c>
      <c r="M14" s="29" t="n">
        <v>7</v>
      </c>
      <c r="N14" s="29" t="n">
        <v>4</v>
      </c>
      <c r="O14" s="29" t="n">
        <v>5</v>
      </c>
      <c r="P14" s="29" t="n">
        <v>4</v>
      </c>
      <c r="Q14" s="29" t="n">
        <v>7</v>
      </c>
      <c r="R14" s="29" t="n">
        <v>6</v>
      </c>
      <c r="S14" s="29" t="n">
        <v>2</v>
      </c>
      <c r="T14" s="29" t="n">
        <v>4</v>
      </c>
      <c r="U14" s="28">
        <f>IF(COUNT(C14:T14)=18,SUM(C14:T14),"")</f>
        <v/>
      </c>
      <c r="V14" s="28" t="n">
        <v>20</v>
      </c>
      <c r="W14" s="28">
        <f>IF(V14="","",MIN(V14,26))</f>
        <v/>
      </c>
      <c r="X14" s="28">
        <f>IF(OR(U14="",W14=""),"",U14-W14)</f>
        <v/>
      </c>
    </row>
    <row r="15" ht="15" customHeight="1" s="22">
      <c r="A15" s="28" t="inlineStr">
        <is>
          <t>Dipaola, Martin</t>
        </is>
      </c>
      <c r="B15" s="28" t="inlineStr">
        <is>
          <t>GRIS</t>
        </is>
      </c>
      <c r="C15" s="29" t="n">
        <v>5</v>
      </c>
      <c r="D15" s="29" t="n">
        <v>4</v>
      </c>
      <c r="E15" s="29" t="n">
        <v>4</v>
      </c>
      <c r="F15" s="29" t="n">
        <v>7</v>
      </c>
      <c r="G15" s="29" t="n">
        <v>6</v>
      </c>
      <c r="H15" s="29" t="n">
        <v>5</v>
      </c>
      <c r="I15" s="29" t="n">
        <v>4</v>
      </c>
      <c r="J15" s="29" t="n">
        <v>6</v>
      </c>
      <c r="K15" s="29" t="n">
        <v>4</v>
      </c>
      <c r="L15" s="29" t="n">
        <v>6</v>
      </c>
      <c r="M15" s="29" t="n">
        <v>6</v>
      </c>
      <c r="N15" s="29" t="n">
        <v>6</v>
      </c>
      <c r="O15" s="29" t="n">
        <v>6</v>
      </c>
      <c r="P15" s="29" t="n">
        <v>3</v>
      </c>
      <c r="Q15" s="29" t="n">
        <v>6</v>
      </c>
      <c r="R15" s="29" t="n">
        <v>4</v>
      </c>
      <c r="S15" s="29" t="n">
        <v>3</v>
      </c>
      <c r="T15" s="29" t="n">
        <v>8</v>
      </c>
      <c r="U15" s="28">
        <f>IF(COUNT(C15:T15)=18,SUM(C15:T15),"")</f>
        <v/>
      </c>
      <c r="V15" s="28" t="n">
        <v>22</v>
      </c>
      <c r="W15" s="28">
        <f>IF(V15="","",MIN(V15,26))</f>
        <v/>
      </c>
      <c r="X15" s="28">
        <f>IF(OR(U15="",W15=""),"",U15-W15)</f>
        <v/>
      </c>
    </row>
    <row r="16" ht="15" customHeight="1" s="22">
      <c r="A16" s="28" t="inlineStr">
        <is>
          <t>Gatto, Mariano</t>
        </is>
      </c>
      <c r="B16" s="28" t="inlineStr">
        <is>
          <t>ROJO</t>
        </is>
      </c>
      <c r="C16" s="29" t="n">
        <v>5</v>
      </c>
      <c r="D16" s="29" t="n">
        <v>4</v>
      </c>
      <c r="E16" s="29" t="n">
        <v>5</v>
      </c>
      <c r="F16" s="29" t="n">
        <v>6</v>
      </c>
      <c r="G16" s="29" t="n">
        <v>4</v>
      </c>
      <c r="H16" s="29" t="n">
        <v>6</v>
      </c>
      <c r="I16" s="29" t="n">
        <v>3</v>
      </c>
      <c r="J16" s="29" t="n">
        <v>5</v>
      </c>
      <c r="K16" s="29" t="n">
        <v>5</v>
      </c>
      <c r="L16" s="29" t="n">
        <v>6</v>
      </c>
      <c r="M16" s="29" t="n">
        <v>6</v>
      </c>
      <c r="N16" s="29" t="n">
        <v>6</v>
      </c>
      <c r="O16" s="29" t="n">
        <v>4</v>
      </c>
      <c r="P16" s="29" t="n">
        <v>3</v>
      </c>
      <c r="Q16" s="29" t="n">
        <v>3</v>
      </c>
      <c r="R16" s="29" t="n">
        <v>3</v>
      </c>
      <c r="S16" s="29" t="n">
        <v>3</v>
      </c>
      <c r="T16" s="29" t="n">
        <v>5</v>
      </c>
      <c r="U16" s="28">
        <f>IF(COUNT(C16:T16)=18,SUM(C16:T16),"")</f>
        <v/>
      </c>
      <c r="V16" s="28" t="n">
        <v>10</v>
      </c>
      <c r="W16" s="28">
        <f>IF(V16="","",MIN(V16,26))</f>
        <v/>
      </c>
      <c r="X16" s="28">
        <f>IF(OR(U16="",W16=""),"",U16-W16)</f>
        <v/>
      </c>
    </row>
    <row r="17" ht="15" customHeight="1" s="22">
      <c r="A17" s="28" t="inlineStr">
        <is>
          <t>Elizalde, Juancho</t>
        </is>
      </c>
      <c r="B17" s="28" t="inlineStr">
        <is>
          <t>ROJO</t>
        </is>
      </c>
      <c r="C17" s="29" t="n">
        <v>6</v>
      </c>
      <c r="D17" s="29" t="n">
        <v>5</v>
      </c>
      <c r="E17" s="29" t="n">
        <v>5</v>
      </c>
      <c r="F17" s="29" t="n">
        <v>7</v>
      </c>
      <c r="G17" s="29" t="n">
        <v>4</v>
      </c>
      <c r="H17" s="29" t="n">
        <v>6</v>
      </c>
      <c r="I17" s="29" t="n">
        <v>3</v>
      </c>
      <c r="J17" s="29" t="n">
        <v>3</v>
      </c>
      <c r="K17" s="29" t="n">
        <v>5</v>
      </c>
      <c r="L17" s="29" t="n">
        <v>5</v>
      </c>
      <c r="M17" s="29" t="n">
        <v>6</v>
      </c>
      <c r="N17" s="29" t="n">
        <v>5</v>
      </c>
      <c r="O17" s="29" t="n">
        <v>4</v>
      </c>
      <c r="P17" s="29" t="n">
        <v>2</v>
      </c>
      <c r="Q17" s="29" t="n">
        <v>6</v>
      </c>
      <c r="R17" s="29" t="n">
        <v>4</v>
      </c>
      <c r="S17" s="29" t="n">
        <v>5</v>
      </c>
      <c r="T17" s="29" t="n">
        <v>5</v>
      </c>
      <c r="U17" s="28">
        <f>IF(COUNT(C17:T17)=18,SUM(C17:T17),"")</f>
        <v/>
      </c>
      <c r="V17" s="28" t="n">
        <v>13</v>
      </c>
      <c r="W17" s="28">
        <f>IF(V17="","",MIN(V17,26))</f>
        <v/>
      </c>
      <c r="X17" s="28">
        <f>IF(OR(U17="",W17=""),"",U17-W17)</f>
        <v/>
      </c>
    </row>
    <row r="18" ht="15" customHeight="1" s="22">
      <c r="A18" s="28" t="inlineStr">
        <is>
          <t>Canónico, Agus</t>
        </is>
      </c>
      <c r="B18" s="28" t="inlineStr">
        <is>
          <t>ROJO</t>
        </is>
      </c>
      <c r="C18" s="29" t="n">
        <v>5</v>
      </c>
      <c r="D18" s="29" t="n">
        <v>4</v>
      </c>
      <c r="E18" s="29" t="n">
        <v>7</v>
      </c>
      <c r="F18" s="29" t="n">
        <v>7</v>
      </c>
      <c r="G18" s="29" t="n">
        <v>5</v>
      </c>
      <c r="H18" s="29" t="n">
        <v>5</v>
      </c>
      <c r="I18" s="29" t="n">
        <v>4</v>
      </c>
      <c r="J18" s="29" t="n">
        <v>5</v>
      </c>
      <c r="K18" s="29" t="n">
        <v>5</v>
      </c>
      <c r="L18" s="29" t="n">
        <v>7</v>
      </c>
      <c r="M18" s="29" t="n">
        <v>6</v>
      </c>
      <c r="N18" s="29" t="n">
        <v>5</v>
      </c>
      <c r="O18" s="29" t="n">
        <v>6</v>
      </c>
      <c r="P18" s="29" t="n">
        <v>3</v>
      </c>
      <c r="Q18" s="29" t="n">
        <v>5</v>
      </c>
      <c r="R18" s="29" t="n">
        <v>5</v>
      </c>
      <c r="S18" s="29" t="n">
        <v>5</v>
      </c>
      <c r="T18" s="29" t="n">
        <v>7</v>
      </c>
      <c r="U18" s="28">
        <f>IF(COUNT(C18:T18)=18,SUM(C18:T18),"")</f>
        <v/>
      </c>
      <c r="V18" s="28" t="n">
        <v>18</v>
      </c>
      <c r="W18" s="28">
        <f>IF(V18="","",MIN(V18,26))</f>
        <v/>
      </c>
      <c r="X18" s="28">
        <f>IF(OR(U18="",W18=""),"",U18-W18)</f>
        <v/>
      </c>
    </row>
    <row r="19" ht="15" customHeight="1" s="22">
      <c r="A19" s="28" t="inlineStr">
        <is>
          <t>Vogelius, Nico</t>
        </is>
      </c>
      <c r="B19" s="28" t="inlineStr">
        <is>
          <t>ROJO</t>
        </is>
      </c>
      <c r="C19" s="29" t="n">
        <v>7</v>
      </c>
      <c r="D19" s="29" t="n">
        <v>3</v>
      </c>
      <c r="E19" s="29" t="n">
        <v>4</v>
      </c>
      <c r="F19" s="29" t="n">
        <v>5</v>
      </c>
      <c r="G19" s="29" t="n">
        <v>4</v>
      </c>
      <c r="H19" s="29" t="n">
        <v>6</v>
      </c>
      <c r="I19" s="29" t="n">
        <v>3</v>
      </c>
      <c r="J19" s="29" t="n">
        <v>5</v>
      </c>
      <c r="K19" s="29" t="n">
        <v>6</v>
      </c>
      <c r="L19" s="29" t="n">
        <v>5</v>
      </c>
      <c r="M19" s="29" t="n">
        <v>6</v>
      </c>
      <c r="N19" s="29" t="n">
        <v>4</v>
      </c>
      <c r="O19" s="29" t="n">
        <v>4</v>
      </c>
      <c r="P19" s="29" t="n">
        <v>3</v>
      </c>
      <c r="Q19" s="29" t="n">
        <v>6</v>
      </c>
      <c r="R19" s="29" t="n">
        <v>5</v>
      </c>
      <c r="S19" s="29" t="n">
        <v>3</v>
      </c>
      <c r="T19" s="29" t="n">
        <v>5</v>
      </c>
      <c r="U19" s="28">
        <f>IF(COUNT(C19:T19)=18,SUM(C19:T19),"")</f>
        <v/>
      </c>
      <c r="V19" s="28" t="n">
        <v>17</v>
      </c>
      <c r="W19" s="28">
        <f>IF(V19="","",MIN(V19,26))</f>
        <v/>
      </c>
      <c r="X19" s="28">
        <f>IF(OR(U19="",W19=""),"",U19-W19)</f>
        <v/>
      </c>
    </row>
    <row r="20" ht="15" customHeight="1" s="22">
      <c r="A20" s="28" t="inlineStr">
        <is>
          <t>Mendez, Pato</t>
        </is>
      </c>
      <c r="B20" s="28" t="inlineStr">
        <is>
          <t>ROJO</t>
        </is>
      </c>
      <c r="C20" s="29" t="n">
        <v>6</v>
      </c>
      <c r="D20" s="29" t="n">
        <v>3</v>
      </c>
      <c r="E20" s="29" t="n">
        <v>5</v>
      </c>
      <c r="F20" s="29" t="n">
        <v>7</v>
      </c>
      <c r="G20" s="29" t="n">
        <v>5</v>
      </c>
      <c r="H20" s="29" t="n">
        <v>5</v>
      </c>
      <c r="I20" s="29" t="n">
        <v>4</v>
      </c>
      <c r="J20" s="29" t="n">
        <v>5</v>
      </c>
      <c r="K20" s="29" t="n">
        <v>4</v>
      </c>
      <c r="L20" s="29" t="n">
        <v>4</v>
      </c>
      <c r="M20" s="29" t="n">
        <v>7</v>
      </c>
      <c r="N20" s="29" t="n">
        <v>3</v>
      </c>
      <c r="O20" s="29" t="n">
        <v>4</v>
      </c>
      <c r="P20" s="29" t="n">
        <v>5</v>
      </c>
      <c r="Q20" s="29" t="n">
        <v>6</v>
      </c>
      <c r="R20" s="29" t="n">
        <v>4</v>
      </c>
      <c r="S20" s="29" t="n">
        <v>3</v>
      </c>
      <c r="T20" s="29" t="n">
        <v>6</v>
      </c>
      <c r="U20" s="28">
        <f>IF(COUNT(C20:T20)=18,SUM(C20:T20),"")</f>
        <v/>
      </c>
      <c r="V20" s="28" t="n">
        <v>17</v>
      </c>
      <c r="W20" s="28">
        <f>IF(V20="","",MIN(V20,26))</f>
        <v/>
      </c>
      <c r="X20" s="28">
        <f>IF(OR(U20="",W20=""),"",U20-W20)</f>
        <v/>
      </c>
    </row>
    <row r="21" ht="15" customHeight="1" s="22">
      <c r="A21" s="28" t="inlineStr">
        <is>
          <t>Molinario, Andy</t>
        </is>
      </c>
      <c r="B21" s="28" t="inlineStr">
        <is>
          <t>ROJO</t>
        </is>
      </c>
      <c r="C21" s="29" t="n">
        <v>5</v>
      </c>
      <c r="D21" s="29" t="n">
        <v>5</v>
      </c>
      <c r="E21" s="29" t="n">
        <v>4</v>
      </c>
      <c r="F21" s="29" t="n">
        <v>5</v>
      </c>
      <c r="G21" s="29" t="n">
        <v>5</v>
      </c>
      <c r="H21" s="29" t="n">
        <v>5</v>
      </c>
      <c r="I21" s="29" t="n">
        <v>6</v>
      </c>
      <c r="J21" s="29" t="n">
        <v>6</v>
      </c>
      <c r="K21" s="29" t="n">
        <v>4</v>
      </c>
      <c r="L21" s="29" t="n">
        <v>5</v>
      </c>
      <c r="M21" s="29" t="n">
        <v>4</v>
      </c>
      <c r="N21" s="29" t="n">
        <v>5</v>
      </c>
      <c r="O21" s="29" t="n">
        <v>4</v>
      </c>
      <c r="P21" s="29" t="n">
        <v>5</v>
      </c>
      <c r="Q21" s="29" t="n">
        <v>5</v>
      </c>
      <c r="R21" s="29" t="n">
        <v>4</v>
      </c>
      <c r="S21" s="29" t="n">
        <v>3</v>
      </c>
      <c r="T21" s="29" t="n">
        <v>6</v>
      </c>
      <c r="U21" s="28">
        <f>IF(COUNT(C21:T21)=18,SUM(C21:T21),"")</f>
        <v/>
      </c>
      <c r="V21" s="28" t="n">
        <v>17</v>
      </c>
      <c r="W21" s="28">
        <f>IF(V21="","",MIN(V21,26))</f>
        <v/>
      </c>
      <c r="X21" s="28">
        <f>IF(OR(U21="",W21=""),"",U21-W21)</f>
        <v/>
      </c>
    </row>
    <row r="22" ht="15" customHeight="1" s="22">
      <c r="A22" s="28" t="inlineStr">
        <is>
          <t>Scapparone, Nico</t>
        </is>
      </c>
      <c r="B22" s="28" t="inlineStr">
        <is>
          <t>ROJO</t>
        </is>
      </c>
      <c r="C22" s="29" t="n">
        <v>4</v>
      </c>
      <c r="D22" s="29" t="n">
        <v>4</v>
      </c>
      <c r="E22" s="29" t="n">
        <v>7</v>
      </c>
      <c r="F22" s="29" t="n">
        <v>5</v>
      </c>
      <c r="G22" s="29" t="n">
        <v>6</v>
      </c>
      <c r="H22" s="29" t="n">
        <v>7</v>
      </c>
      <c r="I22" s="29" t="n">
        <v>5</v>
      </c>
      <c r="J22" s="29" t="n">
        <v>3</v>
      </c>
      <c r="K22" s="29" t="n">
        <v>4</v>
      </c>
      <c r="L22" s="29" t="n">
        <v>4</v>
      </c>
      <c r="M22" s="29" t="n">
        <v>8</v>
      </c>
      <c r="N22" s="29" t="n">
        <v>6</v>
      </c>
      <c r="O22" s="29" t="n">
        <v>7</v>
      </c>
      <c r="P22" s="29" t="n">
        <v>5</v>
      </c>
      <c r="Q22" s="29" t="n">
        <v>6</v>
      </c>
      <c r="R22" s="29" t="n">
        <v>5</v>
      </c>
      <c r="S22" s="29" t="n">
        <v>4</v>
      </c>
      <c r="T22" s="29" t="n">
        <v>5</v>
      </c>
      <c r="U22" s="28">
        <f>IF(COUNT(C22:T22)=18,SUM(C22:T22),"")</f>
        <v/>
      </c>
      <c r="V22" s="28" t="n">
        <v>20</v>
      </c>
      <c r="W22" s="28">
        <f>IF(V22="","",MIN(V22,26))</f>
        <v/>
      </c>
      <c r="X22" s="28">
        <f>IF(OR(U22="",W22=""),"",U22-W22)</f>
        <v/>
      </c>
    </row>
    <row r="23" ht="15" customHeight="1" s="22">
      <c r="A23" s="30" t="inlineStr">
        <is>
          <t>Gatto, Alejandro</t>
        </is>
      </c>
      <c r="B23" s="28" t="inlineStr">
        <is>
          <t>ROJO</t>
        </is>
      </c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29" t="n"/>
      <c r="U23" s="28" t="n">
        <v>117</v>
      </c>
      <c r="V23" s="28" t="n">
        <v>20</v>
      </c>
      <c r="W23" s="28">
        <f>IF(V23="","",MIN(V23,26))</f>
        <v/>
      </c>
      <c r="X23" s="28">
        <f>IF(OR(U23="",W23=""),"",U23-W23)</f>
        <v/>
      </c>
    </row>
  </sheetData>
  <mergeCells count="1">
    <mergeCell ref="A1:Y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Y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83203125" defaultRowHeight="15" customHeight="0" zeroHeight="0" outlineLevelRow="0"/>
  <cols>
    <col width="22" customWidth="1" style="21" min="1" max="1"/>
    <col width="8" customWidth="1" style="21" min="2" max="2"/>
    <col width="5" customWidth="1" style="21" min="3" max="20"/>
    <col width="8" customWidth="1" style="21" min="21" max="21"/>
    <col width="9" customWidth="1" style="21" min="22" max="22"/>
    <col width="10" customWidth="1" style="21" min="23" max="23"/>
    <col width="7" customWidth="1" style="21" min="24" max="24"/>
  </cols>
  <sheetData>
    <row r="1" ht="27.75" customHeight="1" s="22">
      <c r="A1" s="23" t="inlineStr">
        <is>
          <t>FECHA 2 — 11 Abr 2026 — CUBA Fátima</t>
        </is>
      </c>
    </row>
    <row r="2" ht="15" customHeight="1" s="22">
      <c r="A2" s="24" t="inlineStr">
        <is>
          <t>Par 72 | Organizadores: —</t>
        </is>
      </c>
    </row>
    <row r="5" ht="15" customHeight="1" s="22">
      <c r="A5" s="21" t="inlineStr">
        <is>
          <t>HCP</t>
        </is>
      </c>
      <c r="B5" s="21" t="inlineStr">
        <is>
          <t>cancha</t>
        </is>
      </c>
      <c r="C5" s="25" t="n">
        <v>5</v>
      </c>
      <c r="D5" s="25" t="n">
        <v>15</v>
      </c>
      <c r="E5" s="25" t="n">
        <v>1</v>
      </c>
      <c r="F5" s="25" t="n">
        <v>7</v>
      </c>
      <c r="G5" s="25" t="n">
        <v>11</v>
      </c>
      <c r="H5" s="25" t="n">
        <v>3</v>
      </c>
      <c r="I5" s="25" t="n">
        <v>17</v>
      </c>
      <c r="J5" s="25" t="n">
        <v>13</v>
      </c>
      <c r="K5" s="25" t="n">
        <v>9</v>
      </c>
      <c r="L5" s="25" t="n">
        <v>14</v>
      </c>
      <c r="M5" s="25" t="n">
        <v>10</v>
      </c>
      <c r="N5" s="25" t="n">
        <v>2</v>
      </c>
      <c r="O5" s="25" t="n">
        <v>6</v>
      </c>
      <c r="P5" s="25" t="n">
        <v>16</v>
      </c>
      <c r="Q5" s="25" t="n">
        <v>4</v>
      </c>
      <c r="R5" s="25" t="n">
        <v>12</v>
      </c>
      <c r="S5" s="25" t="n">
        <v>18</v>
      </c>
      <c r="T5" s="25" t="n">
        <v>8</v>
      </c>
    </row>
    <row r="6" ht="15" customHeight="1" s="22">
      <c r="A6" s="21" t="inlineStr">
        <is>
          <t>PAR</t>
        </is>
      </c>
      <c r="C6" s="26" t="n">
        <v>5</v>
      </c>
      <c r="D6" s="26" t="n">
        <v>3</v>
      </c>
      <c r="E6" s="26" t="n">
        <v>4</v>
      </c>
      <c r="F6" s="26" t="n">
        <v>5</v>
      </c>
      <c r="G6" s="26" t="n">
        <v>4</v>
      </c>
      <c r="H6" s="26" t="n">
        <v>4</v>
      </c>
      <c r="I6" s="26" t="n">
        <v>3</v>
      </c>
      <c r="J6" s="26" t="n">
        <v>4</v>
      </c>
      <c r="K6" s="26" t="n">
        <v>4</v>
      </c>
      <c r="L6" s="26" t="n">
        <v>4</v>
      </c>
      <c r="M6" s="26" t="n">
        <v>5</v>
      </c>
      <c r="N6" s="26" t="n">
        <v>4</v>
      </c>
      <c r="O6" s="26" t="n">
        <v>4</v>
      </c>
      <c r="P6" s="26" t="n">
        <v>3</v>
      </c>
      <c r="Q6" s="26" t="n">
        <v>4</v>
      </c>
      <c r="R6" s="26" t="n">
        <v>4</v>
      </c>
      <c r="S6" s="26" t="n">
        <v>3</v>
      </c>
      <c r="T6" s="26" t="n">
        <v>5</v>
      </c>
    </row>
    <row r="7" ht="24" customHeight="1" s="22">
      <c r="A7" s="27" t="inlineStr">
        <is>
          <t>Jugador</t>
        </is>
      </c>
      <c r="B7" s="27" t="inlineStr">
        <is>
          <t>Equipo</t>
        </is>
      </c>
      <c r="C7" s="27" t="inlineStr">
        <is>
          <t>H1</t>
        </is>
      </c>
      <c r="D7" s="27" t="inlineStr">
        <is>
          <t>H2</t>
        </is>
      </c>
      <c r="E7" s="27" t="inlineStr">
        <is>
          <t>H3</t>
        </is>
      </c>
      <c r="F7" s="27" t="inlineStr">
        <is>
          <t>H4</t>
        </is>
      </c>
      <c r="G7" s="27" t="inlineStr">
        <is>
          <t>H5</t>
        </is>
      </c>
      <c r="H7" s="27" t="inlineStr">
        <is>
          <t>H6</t>
        </is>
      </c>
      <c r="I7" s="27" t="inlineStr">
        <is>
          <t>H7</t>
        </is>
      </c>
      <c r="J7" s="27" t="inlineStr">
        <is>
          <t>H8</t>
        </is>
      </c>
      <c r="K7" s="27" t="inlineStr">
        <is>
          <t>H9</t>
        </is>
      </c>
      <c r="L7" s="27" t="inlineStr">
        <is>
          <t>H10</t>
        </is>
      </c>
      <c r="M7" s="27" t="inlineStr">
        <is>
          <t>H11</t>
        </is>
      </c>
      <c r="N7" s="27" t="inlineStr">
        <is>
          <t>H12</t>
        </is>
      </c>
      <c r="O7" s="27" t="inlineStr">
        <is>
          <t>H13</t>
        </is>
      </c>
      <c r="P7" s="27" t="inlineStr">
        <is>
          <t>H14</t>
        </is>
      </c>
      <c r="Q7" s="27" t="inlineStr">
        <is>
          <t>H15</t>
        </is>
      </c>
      <c r="R7" s="27" t="inlineStr">
        <is>
          <t>H16</t>
        </is>
      </c>
      <c r="S7" s="27" t="inlineStr">
        <is>
          <t>H17</t>
        </is>
      </c>
      <c r="T7" s="27" t="inlineStr">
        <is>
          <t>H18</t>
        </is>
      </c>
      <c r="U7" s="27" t="inlineStr">
        <is>
          <t>Gross</t>
        </is>
      </c>
      <c r="V7" s="27" t="inlineStr">
        <is>
          <t>Hdcp día</t>
        </is>
      </c>
      <c r="W7" s="27" t="inlineStr">
        <is>
          <t>Hdcp aplic</t>
        </is>
      </c>
      <c r="X7" s="27" t="inlineStr">
        <is>
          <t>Neto</t>
        </is>
      </c>
    </row>
    <row r="8" ht="15" customHeight="1" s="22">
      <c r="A8" s="28" t="inlineStr">
        <is>
          <t>Tarasido, Gonzalo</t>
        </is>
      </c>
      <c r="B8" s="28" t="inlineStr">
        <is>
          <t>GRIS</t>
        </is>
      </c>
      <c r="C8" s="29" t="n">
        <v>5</v>
      </c>
      <c r="D8" s="29" t="n">
        <v>4</v>
      </c>
      <c r="E8" s="29" t="n">
        <v>8</v>
      </c>
      <c r="F8" s="29" t="n">
        <v>6</v>
      </c>
      <c r="G8" s="29" t="n">
        <v>7</v>
      </c>
      <c r="H8" s="29" t="n">
        <v>7</v>
      </c>
      <c r="I8" s="29" t="n">
        <v>6</v>
      </c>
      <c r="J8" s="29" t="n">
        <v>4</v>
      </c>
      <c r="K8" s="29" t="n">
        <v>6</v>
      </c>
      <c r="L8" s="29" t="n">
        <v>4</v>
      </c>
      <c r="M8" s="29" t="n">
        <v>5</v>
      </c>
      <c r="N8" s="29" t="n">
        <v>4</v>
      </c>
      <c r="O8" s="29" t="n">
        <v>6</v>
      </c>
      <c r="P8" s="29" t="n">
        <v>4</v>
      </c>
      <c r="Q8" s="29" t="n">
        <v>4</v>
      </c>
      <c r="R8" s="29" t="n">
        <v>5</v>
      </c>
      <c r="S8" s="29" t="n">
        <v>5</v>
      </c>
      <c r="T8" s="29" t="n">
        <v>7</v>
      </c>
      <c r="U8" s="28">
        <f>IF(COUNT(C8:T8)=18,SUM(C8:T8),"")</f>
        <v/>
      </c>
      <c r="V8" s="28" t="n">
        <v>12</v>
      </c>
      <c r="W8" s="28">
        <f>IF(V8="","",MIN(V8,26))</f>
        <v/>
      </c>
      <c r="X8" s="28">
        <f>IF(OR(U8="",W8=""),"",U8-W8)</f>
        <v/>
      </c>
    </row>
    <row r="9" ht="15" customHeight="1" s="22">
      <c r="A9" s="28" t="inlineStr">
        <is>
          <t>Pannullo, Tincho</t>
        </is>
      </c>
      <c r="B9" s="28" t="inlineStr">
        <is>
          <t>GRIS</t>
        </is>
      </c>
      <c r="C9" s="29" t="n">
        <v>5</v>
      </c>
      <c r="D9" s="29" t="n">
        <v>5</v>
      </c>
      <c r="E9" s="29" t="n">
        <v>5</v>
      </c>
      <c r="F9" s="29" t="n">
        <v>9</v>
      </c>
      <c r="G9" s="29" t="n">
        <v>6</v>
      </c>
      <c r="H9" s="29" t="n">
        <v>5</v>
      </c>
      <c r="I9" s="29" t="n">
        <v>5</v>
      </c>
      <c r="J9" s="29" t="n">
        <v>4</v>
      </c>
      <c r="K9" s="29" t="n">
        <v>6</v>
      </c>
      <c r="L9" s="29" t="n">
        <v>5</v>
      </c>
      <c r="M9" s="29" t="n">
        <v>5</v>
      </c>
      <c r="N9" s="29" t="n">
        <v>6</v>
      </c>
      <c r="O9" s="29" t="n">
        <v>3</v>
      </c>
      <c r="P9" s="29" t="n">
        <v>4</v>
      </c>
      <c r="Q9" s="29" t="n">
        <v>6</v>
      </c>
      <c r="R9" s="29" t="n">
        <v>6</v>
      </c>
      <c r="S9" s="29" t="n">
        <v>2</v>
      </c>
      <c r="T9" s="29" t="n">
        <v>5</v>
      </c>
      <c r="U9" s="28">
        <f>IF(COUNT(C9:T9)=18,SUM(C9:T9),"")</f>
        <v/>
      </c>
      <c r="V9" s="28" t="n">
        <v>15</v>
      </c>
      <c r="W9" s="28">
        <f>IF(V9="","",MIN(V9,26))</f>
        <v/>
      </c>
      <c r="X9" s="28">
        <f>IF(OR(U9="",W9=""),"",U9-W9)</f>
        <v/>
      </c>
    </row>
    <row r="10" ht="15" customHeight="1" s="22">
      <c r="A10" s="28" t="inlineStr">
        <is>
          <t>Benegas, Pancho</t>
        </is>
      </c>
      <c r="B10" s="28" t="inlineStr">
        <is>
          <t>GRIS</t>
        </is>
      </c>
      <c r="C10" s="29" t="n">
        <v>8</v>
      </c>
      <c r="D10" s="29" t="n">
        <v>3</v>
      </c>
      <c r="E10" s="29" t="n">
        <v>4</v>
      </c>
      <c r="F10" s="29" t="n">
        <v>6</v>
      </c>
      <c r="G10" s="29" t="n">
        <v>5</v>
      </c>
      <c r="H10" s="29" t="n">
        <v>5</v>
      </c>
      <c r="I10" s="29" t="n">
        <v>4</v>
      </c>
      <c r="J10" s="29" t="n">
        <v>6</v>
      </c>
      <c r="K10" s="29" t="n">
        <v>6</v>
      </c>
      <c r="L10" s="29" t="n">
        <v>6</v>
      </c>
      <c r="M10" s="29" t="n">
        <v>5</v>
      </c>
      <c r="N10" s="29" t="n">
        <v>5</v>
      </c>
      <c r="O10" s="29" t="n">
        <v>5</v>
      </c>
      <c r="P10" s="29" t="n">
        <v>4</v>
      </c>
      <c r="Q10" s="29" t="n">
        <v>6</v>
      </c>
      <c r="R10" s="29" t="n">
        <v>6</v>
      </c>
      <c r="S10" s="29" t="n">
        <v>3</v>
      </c>
      <c r="T10" s="29" t="n">
        <v>6</v>
      </c>
      <c r="U10" s="28">
        <f>IF(COUNT(C10:T10)=18,SUM(C10:T10),"")</f>
        <v/>
      </c>
      <c r="V10" s="28" t="n">
        <v>20</v>
      </c>
      <c r="W10" s="28">
        <f>IF(V10="","",MIN(V10,26))</f>
        <v/>
      </c>
      <c r="X10" s="28">
        <f>IF(OR(U10="",W10=""),"",U10-W10)</f>
        <v/>
      </c>
    </row>
    <row r="11" ht="15" customHeight="1" s="22">
      <c r="A11" s="28" t="inlineStr">
        <is>
          <t>Guevara, Franki</t>
        </is>
      </c>
      <c r="B11" s="28" t="inlineStr">
        <is>
          <t>GRIS</t>
        </is>
      </c>
      <c r="C11" s="29" t="n">
        <v>5</v>
      </c>
      <c r="D11" s="29" t="n">
        <v>5</v>
      </c>
      <c r="E11" s="29" t="n">
        <v>5</v>
      </c>
      <c r="F11" s="29" t="n">
        <v>7</v>
      </c>
      <c r="G11" s="29" t="n">
        <v>6</v>
      </c>
      <c r="H11" s="29" t="n">
        <v>6</v>
      </c>
      <c r="I11" s="29" t="n">
        <v>3</v>
      </c>
      <c r="J11" s="29" t="n">
        <v>6</v>
      </c>
      <c r="K11" s="29" t="n">
        <v>6</v>
      </c>
      <c r="L11" s="29" t="n">
        <v>4</v>
      </c>
      <c r="M11" s="29" t="n">
        <v>6</v>
      </c>
      <c r="N11" s="29" t="n">
        <v>5</v>
      </c>
      <c r="O11" s="29" t="n">
        <v>7</v>
      </c>
      <c r="P11" s="29" t="n">
        <v>4</v>
      </c>
      <c r="Q11" s="29" t="n">
        <v>5</v>
      </c>
      <c r="R11" s="29" t="n">
        <v>7</v>
      </c>
      <c r="S11" s="29" t="n">
        <v>3</v>
      </c>
      <c r="T11" s="29" t="n">
        <v>5</v>
      </c>
      <c r="U11" s="28">
        <f>IF(COUNT(C11:T11)=18,SUM(C11:T11),"")</f>
        <v/>
      </c>
      <c r="V11" s="28" t="n">
        <v>20</v>
      </c>
      <c r="W11" s="28">
        <f>IF(V11="","",MIN(V11,26))</f>
        <v/>
      </c>
      <c r="X11" s="28">
        <f>IF(OR(U11="",W11=""),"",U11-W11)</f>
        <v/>
      </c>
    </row>
    <row r="12" ht="15" customHeight="1" s="22">
      <c r="A12" s="28" t="inlineStr">
        <is>
          <t>Dipaola, Martin</t>
        </is>
      </c>
      <c r="B12" s="28" t="inlineStr">
        <is>
          <t>GRIS</t>
        </is>
      </c>
      <c r="C12" s="29" t="n">
        <v>6</v>
      </c>
      <c r="D12" s="29" t="n">
        <v>4</v>
      </c>
      <c r="E12" s="29" t="n">
        <v>6</v>
      </c>
      <c r="F12" s="29" t="n">
        <v>8</v>
      </c>
      <c r="G12" s="29" t="n">
        <v>5</v>
      </c>
      <c r="H12" s="29" t="n">
        <v>6</v>
      </c>
      <c r="I12" s="29" t="n">
        <v>4</v>
      </c>
      <c r="J12" s="29" t="n">
        <v>4</v>
      </c>
      <c r="K12" s="29" t="n">
        <v>5</v>
      </c>
      <c r="L12" s="29" t="n">
        <v>5</v>
      </c>
      <c r="M12" s="29" t="n">
        <v>4</v>
      </c>
      <c r="N12" s="29" t="n">
        <v>5</v>
      </c>
      <c r="O12" s="29" t="n">
        <v>7</v>
      </c>
      <c r="P12" s="29" t="n">
        <v>7</v>
      </c>
      <c r="Q12" s="29" t="n">
        <v>6</v>
      </c>
      <c r="R12" s="29" t="n">
        <v>5</v>
      </c>
      <c r="S12" s="29" t="n">
        <v>4</v>
      </c>
      <c r="T12" s="29" t="n">
        <v>4</v>
      </c>
      <c r="U12" s="28">
        <f>IF(COUNT(C12:T12)=18,SUM(C12:T12),"")</f>
        <v/>
      </c>
      <c r="V12" s="28" t="n">
        <v>22</v>
      </c>
      <c r="W12" s="28">
        <f>IF(V12="","",MIN(V12,26))</f>
        <v/>
      </c>
      <c r="X12" s="28">
        <f>IF(OR(U12="",W12=""),"",U12-W12)</f>
        <v/>
      </c>
    </row>
    <row r="13" ht="15" customHeight="1" s="22">
      <c r="A13" s="28" t="inlineStr">
        <is>
          <t>Gatto, Mariano</t>
        </is>
      </c>
      <c r="B13" s="28" t="inlineStr">
        <is>
          <t>ROJO</t>
        </is>
      </c>
      <c r="C13" s="29" t="n">
        <v>4</v>
      </c>
      <c r="D13" s="29" t="n">
        <v>3</v>
      </c>
      <c r="E13" s="29" t="n">
        <v>4</v>
      </c>
      <c r="F13" s="29" t="n">
        <v>6</v>
      </c>
      <c r="G13" s="29" t="n">
        <v>4</v>
      </c>
      <c r="H13" s="29" t="n">
        <v>4</v>
      </c>
      <c r="I13" s="29" t="n">
        <v>3</v>
      </c>
      <c r="J13" s="29" t="n">
        <v>3</v>
      </c>
      <c r="K13" s="29" t="n">
        <v>4</v>
      </c>
      <c r="L13" s="29" t="n">
        <v>6</v>
      </c>
      <c r="M13" s="29" t="n">
        <v>5</v>
      </c>
      <c r="N13" s="29" t="n">
        <v>4</v>
      </c>
      <c r="O13" s="29" t="n">
        <v>4</v>
      </c>
      <c r="P13" s="29" t="n">
        <v>2</v>
      </c>
      <c r="Q13" s="29" t="n">
        <v>5</v>
      </c>
      <c r="R13" s="29" t="n">
        <v>4</v>
      </c>
      <c r="S13" s="29" t="n">
        <v>3</v>
      </c>
      <c r="T13" s="29" t="n">
        <v>7</v>
      </c>
      <c r="U13" s="28">
        <f>IF(COUNT(C13:T13)=18,SUM(C13:T13),"")</f>
        <v/>
      </c>
      <c r="V13" s="28" t="n">
        <v>9</v>
      </c>
      <c r="W13" s="28">
        <f>IF(V13="","",MIN(V13,26))</f>
        <v/>
      </c>
      <c r="X13" s="28">
        <f>IF(OR(U13="",W13=""),"",U13-W13)</f>
        <v/>
      </c>
    </row>
    <row r="14" ht="15" customHeight="1" s="22">
      <c r="A14" s="28" t="inlineStr">
        <is>
          <t>Elizalde, Juancho</t>
        </is>
      </c>
      <c r="B14" s="28" t="inlineStr">
        <is>
          <t>ROJO</t>
        </is>
      </c>
      <c r="C14" s="29" t="n">
        <v>6</v>
      </c>
      <c r="D14" s="29" t="n">
        <v>4</v>
      </c>
      <c r="E14" s="29" t="n">
        <v>4</v>
      </c>
      <c r="F14" s="29" t="n">
        <v>6</v>
      </c>
      <c r="G14" s="29" t="n">
        <v>5</v>
      </c>
      <c r="H14" s="29" t="n">
        <v>5</v>
      </c>
      <c r="I14" s="29" t="n">
        <v>4</v>
      </c>
      <c r="J14" s="29" t="n">
        <v>7</v>
      </c>
      <c r="K14" s="29" t="n">
        <v>3</v>
      </c>
      <c r="L14" s="29" t="n">
        <v>4</v>
      </c>
      <c r="M14" s="29" t="n">
        <v>5</v>
      </c>
      <c r="N14" s="29" t="n">
        <v>5</v>
      </c>
      <c r="O14" s="29" t="n">
        <v>6</v>
      </c>
      <c r="P14" s="29" t="n">
        <v>3</v>
      </c>
      <c r="Q14" s="29" t="n">
        <v>4</v>
      </c>
      <c r="R14" s="29" t="n">
        <v>4</v>
      </c>
      <c r="S14" s="29" t="n">
        <v>3</v>
      </c>
      <c r="T14" s="29" t="n">
        <v>5</v>
      </c>
      <c r="U14" s="28">
        <f>IF(COUNT(C14:T14)=18,SUM(C14:T14),"")</f>
        <v/>
      </c>
      <c r="V14" s="28" t="n">
        <v>13</v>
      </c>
      <c r="W14" s="28">
        <f>IF(V14="","",MIN(V14,26))</f>
        <v/>
      </c>
      <c r="X14" s="28">
        <f>IF(OR(U14="",W14=""),"",U14-W14)</f>
        <v/>
      </c>
    </row>
    <row r="15" ht="15" customHeight="1" s="22">
      <c r="A15" s="28" t="inlineStr">
        <is>
          <t>Canónico, Agus</t>
        </is>
      </c>
      <c r="B15" s="28" t="inlineStr">
        <is>
          <t>ROJO</t>
        </is>
      </c>
      <c r="C15" s="29" t="n">
        <v>8</v>
      </c>
      <c r="D15" s="29" t="n">
        <v>5</v>
      </c>
      <c r="E15" s="29" t="n">
        <v>4</v>
      </c>
      <c r="F15" s="29" t="n">
        <v>6</v>
      </c>
      <c r="G15" s="29" t="n">
        <v>4</v>
      </c>
      <c r="H15" s="29" t="n">
        <v>5</v>
      </c>
      <c r="I15" s="29" t="n">
        <v>2</v>
      </c>
      <c r="J15" s="29" t="n">
        <v>5</v>
      </c>
      <c r="K15" s="29" t="n">
        <v>6</v>
      </c>
      <c r="L15" s="29" t="n">
        <v>4</v>
      </c>
      <c r="M15" s="29" t="n">
        <v>7</v>
      </c>
      <c r="N15" s="29" t="n">
        <v>5</v>
      </c>
      <c r="O15" s="29" t="n">
        <v>4</v>
      </c>
      <c r="P15" s="29" t="n">
        <v>4</v>
      </c>
      <c r="Q15" s="29" t="n">
        <v>5</v>
      </c>
      <c r="R15" s="29" t="n">
        <v>5</v>
      </c>
      <c r="S15" s="29" t="n">
        <v>5</v>
      </c>
      <c r="T15" s="29" t="n">
        <v>7</v>
      </c>
      <c r="U15" s="28">
        <f>IF(COUNT(C15:T15)=18,SUM(C15:T15),"")</f>
        <v/>
      </c>
      <c r="V15" s="28" t="n">
        <v>18</v>
      </c>
      <c r="W15" s="28">
        <f>IF(V15="","",MIN(V15,26))</f>
        <v/>
      </c>
      <c r="X15" s="28">
        <f>IF(OR(U15="",W15=""),"",U15-W15)</f>
        <v/>
      </c>
    </row>
    <row r="16" ht="15" customHeight="1" s="22">
      <c r="A16" s="28" t="inlineStr">
        <is>
          <t>Vogelius, Nico</t>
        </is>
      </c>
      <c r="B16" s="28" t="inlineStr">
        <is>
          <t>ROJO</t>
        </is>
      </c>
      <c r="C16" s="29" t="n">
        <v>8</v>
      </c>
      <c r="D16" s="29" t="n">
        <v>3</v>
      </c>
      <c r="E16" s="29" t="n">
        <v>7</v>
      </c>
      <c r="F16" s="29" t="n">
        <v>7</v>
      </c>
      <c r="G16" s="29" t="n">
        <v>5</v>
      </c>
      <c r="H16" s="29" t="n">
        <v>5</v>
      </c>
      <c r="I16" s="29" t="n">
        <v>3</v>
      </c>
      <c r="J16" s="29" t="n">
        <v>5</v>
      </c>
      <c r="K16" s="29" t="n">
        <v>5</v>
      </c>
      <c r="L16" s="29" t="n">
        <v>7</v>
      </c>
      <c r="M16" s="29" t="n">
        <v>6</v>
      </c>
      <c r="N16" s="29" t="n">
        <v>5</v>
      </c>
      <c r="O16" s="29" t="n">
        <v>5</v>
      </c>
      <c r="P16" s="29" t="n">
        <v>5</v>
      </c>
      <c r="Q16" s="29" t="n">
        <v>8</v>
      </c>
      <c r="R16" s="29" t="n">
        <v>6</v>
      </c>
      <c r="S16" s="29" t="n">
        <v>4</v>
      </c>
      <c r="T16" s="29" t="n">
        <v>6</v>
      </c>
      <c r="U16" s="28">
        <f>IF(COUNT(C16:T16)=18,SUM(C16:T16),"")</f>
        <v/>
      </c>
      <c r="V16" s="28" t="n">
        <v>15</v>
      </c>
      <c r="W16" s="28">
        <f>IF(V16="","",MIN(V16,26))</f>
        <v/>
      </c>
      <c r="X16" s="28">
        <f>IF(OR(U16="",W16=""),"",U16-W16)</f>
        <v/>
      </c>
    </row>
    <row r="17" ht="15" customHeight="1" s="22">
      <c r="A17" s="28" t="inlineStr">
        <is>
          <t>Mendez, Pato</t>
        </is>
      </c>
      <c r="B17" s="28" t="inlineStr">
        <is>
          <t>ROJO</t>
        </is>
      </c>
      <c r="C17" s="29" t="n">
        <v>5</v>
      </c>
      <c r="D17" s="29" t="n">
        <v>3</v>
      </c>
      <c r="E17" s="29" t="n">
        <v>5</v>
      </c>
      <c r="F17" s="29" t="n">
        <v>7</v>
      </c>
      <c r="G17" s="29" t="n">
        <v>5</v>
      </c>
      <c r="H17" s="29" t="n">
        <v>6</v>
      </c>
      <c r="I17" s="29" t="n">
        <v>4</v>
      </c>
      <c r="J17" s="29" t="n">
        <v>5</v>
      </c>
      <c r="K17" s="29" t="n">
        <v>4</v>
      </c>
      <c r="L17" s="29" t="n">
        <v>6</v>
      </c>
      <c r="M17" s="29" t="n">
        <v>6</v>
      </c>
      <c r="N17" s="29" t="n">
        <v>4</v>
      </c>
      <c r="O17" s="29" t="n">
        <v>4</v>
      </c>
      <c r="P17" s="29" t="n">
        <v>4</v>
      </c>
      <c r="Q17" s="29" t="n">
        <v>6</v>
      </c>
      <c r="R17" s="29" t="n">
        <v>5</v>
      </c>
      <c r="S17" s="29" t="n">
        <v>4</v>
      </c>
      <c r="T17" s="29" t="n">
        <v>7</v>
      </c>
      <c r="U17" s="28">
        <f>IF(COUNT(C17:T17)=18,SUM(C17:T17),"")</f>
        <v/>
      </c>
      <c r="V17" s="28" t="n">
        <v>16</v>
      </c>
      <c r="W17" s="28">
        <f>IF(V17="","",MIN(V17,26))</f>
        <v/>
      </c>
      <c r="X17" s="28">
        <f>IF(OR(U17="",W17=""),"",U17-W17)</f>
        <v/>
      </c>
    </row>
    <row r="18" ht="15" customHeight="1" s="22">
      <c r="A18" s="28" t="inlineStr">
        <is>
          <t>Molinario, Andy</t>
        </is>
      </c>
      <c r="B18" s="28" t="inlineStr">
        <is>
          <t>ROJO</t>
        </is>
      </c>
      <c r="C18" s="29" t="n">
        <v>6</v>
      </c>
      <c r="D18" s="29" t="n">
        <v>5</v>
      </c>
      <c r="E18" s="29" t="n">
        <v>6</v>
      </c>
      <c r="F18" s="29" t="n">
        <v>6</v>
      </c>
      <c r="G18" s="29" t="n">
        <v>7</v>
      </c>
      <c r="H18" s="29" t="n">
        <v>4</v>
      </c>
      <c r="I18" s="29" t="n">
        <v>4</v>
      </c>
      <c r="J18" s="29" t="n">
        <v>4</v>
      </c>
      <c r="K18" s="29" t="n">
        <v>7</v>
      </c>
      <c r="L18" s="29" t="n">
        <v>6</v>
      </c>
      <c r="M18" s="29" t="n">
        <v>5</v>
      </c>
      <c r="N18" s="29" t="n">
        <v>5</v>
      </c>
      <c r="O18" s="29" t="n">
        <v>5</v>
      </c>
      <c r="P18" s="29" t="n">
        <v>3</v>
      </c>
      <c r="Q18" s="29" t="n">
        <v>4</v>
      </c>
      <c r="R18" s="29" t="n">
        <v>4</v>
      </c>
      <c r="S18" s="29" t="n">
        <v>6</v>
      </c>
      <c r="T18" s="29" t="n">
        <v>6</v>
      </c>
      <c r="U18" s="28">
        <f>IF(COUNT(C18:T18)=18,SUM(C18:T18),"")</f>
        <v/>
      </c>
      <c r="V18" s="28" t="n">
        <v>17</v>
      </c>
      <c r="W18" s="28">
        <f>IF(V18="","",MIN(V18,26))</f>
        <v/>
      </c>
      <c r="X18" s="28">
        <f>IF(OR(U18="",W18=""),"",U18-W18)</f>
        <v/>
      </c>
    </row>
    <row r="19" ht="15" customHeight="1" s="22">
      <c r="A19" s="28" t="inlineStr">
        <is>
          <t>Fernandez, Lucas</t>
        </is>
      </c>
      <c r="B19" s="28" t="inlineStr">
        <is>
          <t>ROJO</t>
        </is>
      </c>
      <c r="C19" s="29" t="n">
        <v>6</v>
      </c>
      <c r="D19" s="29" t="n">
        <v>4</v>
      </c>
      <c r="E19" s="29" t="n">
        <v>5</v>
      </c>
      <c r="F19" s="29" t="n">
        <v>6</v>
      </c>
      <c r="G19" s="29" t="n">
        <v>4</v>
      </c>
      <c r="H19" s="29" t="n">
        <v>5</v>
      </c>
      <c r="I19" s="29" t="n">
        <v>4</v>
      </c>
      <c r="J19" s="29" t="n">
        <v>5</v>
      </c>
      <c r="K19" s="29" t="n">
        <v>5</v>
      </c>
      <c r="L19" s="29" t="n">
        <v>4</v>
      </c>
      <c r="M19" s="29" t="n">
        <v>4</v>
      </c>
      <c r="N19" s="29" t="n">
        <v>5</v>
      </c>
      <c r="O19" s="29" t="n">
        <v>5</v>
      </c>
      <c r="P19" s="29" t="n">
        <v>6</v>
      </c>
      <c r="Q19" s="29" t="n">
        <v>6</v>
      </c>
      <c r="R19" s="29" t="n">
        <v>6</v>
      </c>
      <c r="S19" s="29" t="n">
        <v>4</v>
      </c>
      <c r="T19" s="29" t="n">
        <v>7</v>
      </c>
      <c r="U19" s="28">
        <f>IF(COUNT(C19:T19)=18,SUM(C19:T19),"")</f>
        <v/>
      </c>
      <c r="V19" s="28" t="n">
        <v>21</v>
      </c>
      <c r="W19" s="28">
        <f>IF(V19="","",MIN(V19,26))</f>
        <v/>
      </c>
      <c r="X19" s="28">
        <f>IF(OR(U19="",W19=""),"",U19-W19)</f>
        <v/>
      </c>
    </row>
    <row r="20" ht="15" customHeight="1" s="22">
      <c r="A20" s="31" t="inlineStr">
        <is>
          <t>Gatto, Alejandro</t>
        </is>
      </c>
      <c r="B20" s="31" t="inlineStr">
        <is>
          <t>ROJO</t>
        </is>
      </c>
      <c r="C20" s="32" t="n">
        <v>9</v>
      </c>
      <c r="D20" s="32" t="n">
        <v>4</v>
      </c>
      <c r="E20" s="32" t="n">
        <v>7</v>
      </c>
      <c r="F20" s="32" t="n">
        <v>9</v>
      </c>
      <c r="G20" s="32" t="n">
        <v>6</v>
      </c>
      <c r="H20" s="32" t="n">
        <v>6</v>
      </c>
      <c r="I20" s="32" t="n">
        <v>4</v>
      </c>
      <c r="J20" s="32" t="n">
        <v>4</v>
      </c>
      <c r="K20" s="32" t="n">
        <v>4</v>
      </c>
      <c r="L20" s="32" t="n">
        <v>7</v>
      </c>
      <c r="M20" s="32" t="n">
        <v>6</v>
      </c>
      <c r="N20" s="32" t="n">
        <v>7</v>
      </c>
      <c r="O20" s="32" t="n">
        <v>4</v>
      </c>
      <c r="P20" s="32" t="n">
        <v>3</v>
      </c>
      <c r="Q20" s="32" t="n">
        <v>9</v>
      </c>
      <c r="R20" s="32" t="n">
        <v>7</v>
      </c>
      <c r="S20" s="32" t="n">
        <v>3</v>
      </c>
      <c r="T20" s="32" t="n">
        <v>8</v>
      </c>
      <c r="U20" s="31">
        <f>IF(COUNT(C20:T20)=18,SUM(C20:T20),"")</f>
        <v/>
      </c>
      <c r="V20" s="31" t="n">
        <v>18</v>
      </c>
      <c r="W20" s="31">
        <f>IF(V20="","",MIN(V20,26))</f>
        <v/>
      </c>
      <c r="X20" s="31">
        <f>IF(OR(U20="",W20=""),"",U20-W20)</f>
        <v/>
      </c>
    </row>
    <row r="21" ht="15" customHeight="1" s="22">
      <c r="A21" s="31" t="inlineStr">
        <is>
          <t>sup_shaw</t>
        </is>
      </c>
      <c r="B21" s="31" t="inlineStr">
        <is>
          <t>—</t>
        </is>
      </c>
      <c r="C21" s="32" t="n">
        <v>5</v>
      </c>
      <c r="D21" s="32" t="n">
        <v>4</v>
      </c>
      <c r="E21" s="32" t="n">
        <v>5</v>
      </c>
      <c r="F21" s="32" t="n">
        <v>8</v>
      </c>
      <c r="G21" s="32" t="n">
        <v>6</v>
      </c>
      <c r="H21" s="32" t="n">
        <v>5</v>
      </c>
      <c r="I21" s="32" t="n">
        <v>3</v>
      </c>
      <c r="J21" s="32" t="n">
        <v>4</v>
      </c>
      <c r="K21" s="32" t="n">
        <v>4</v>
      </c>
      <c r="L21" s="32" t="n">
        <v>5</v>
      </c>
      <c r="M21" s="32" t="n">
        <v>5</v>
      </c>
      <c r="N21" s="32" t="n">
        <v>5</v>
      </c>
      <c r="O21" s="32" t="n">
        <v>5</v>
      </c>
      <c r="P21" s="32" t="n">
        <v>3</v>
      </c>
      <c r="Q21" s="32" t="n">
        <v>4</v>
      </c>
      <c r="R21" s="32" t="n">
        <v>4</v>
      </c>
      <c r="S21" s="32" t="n">
        <v>4</v>
      </c>
      <c r="T21" s="32" t="n">
        <v>4</v>
      </c>
      <c r="U21" s="31">
        <f>IF(COUNT(C21:T21)=18,SUM(C21:T21),"")</f>
        <v/>
      </c>
      <c r="V21" s="31" t="n"/>
      <c r="W21" s="31">
        <f>IF(V21="","",MIN(V21,26))</f>
        <v/>
      </c>
      <c r="X21" s="31">
        <f>IF(OR(U21="",W21=""),"",U21-W21)</f>
        <v/>
      </c>
    </row>
  </sheetData>
  <mergeCells count="1">
    <mergeCell ref="A1:Y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D20" activeCellId="0" sqref="D20"/>
    </sheetView>
  </sheetViews>
  <sheetFormatPr baseColWidth="8" defaultColWidth="8.83203125" defaultRowHeight="15" customHeight="0" zeroHeight="0" outlineLevelRow="0"/>
  <cols>
    <col width="22" customWidth="1" style="21" min="1" max="1"/>
    <col width="8" customWidth="1" style="21" min="2" max="2"/>
    <col width="5" customWidth="1" style="21" min="3" max="20"/>
    <col width="8" customWidth="1" style="21" min="21" max="21"/>
    <col width="9" customWidth="1" style="21" min="22" max="22"/>
    <col width="10" customWidth="1" style="21" min="23" max="23"/>
    <col width="7" customWidth="1" style="21" min="24" max="24"/>
  </cols>
  <sheetData>
    <row r="1" ht="27.75" customHeight="1" s="22">
      <c r="A1" s="23" t="inlineStr">
        <is>
          <t>FECHA 3 — 09 May 2026 — SHA Hebraica</t>
        </is>
      </c>
    </row>
    <row r="2" ht="15" customHeight="1" s="22">
      <c r="A2" s="24" t="inlineStr">
        <is>
          <t>Par 72 | Organizadores: Gonzalez + Tarasido</t>
        </is>
      </c>
    </row>
    <row r="5" ht="15" customHeight="1" s="22">
      <c r="A5" s="21" t="inlineStr">
        <is>
          <t>HCP</t>
        </is>
      </c>
      <c r="B5" s="21" t="inlineStr">
        <is>
          <t>cancha</t>
        </is>
      </c>
      <c r="C5" s="25" t="n">
        <v>15</v>
      </c>
      <c r="D5" s="25" t="n">
        <v>5</v>
      </c>
      <c r="E5" s="25" t="n">
        <v>9</v>
      </c>
      <c r="F5" s="25" t="n">
        <v>7</v>
      </c>
      <c r="G5" s="25" t="n">
        <v>11</v>
      </c>
      <c r="H5" s="25" t="n">
        <v>3</v>
      </c>
      <c r="I5" s="25" t="n">
        <v>1</v>
      </c>
      <c r="J5" s="25" t="n">
        <v>17</v>
      </c>
      <c r="K5" s="25" t="n">
        <v>13</v>
      </c>
      <c r="L5" s="25" t="n">
        <v>10</v>
      </c>
      <c r="M5" s="25" t="n">
        <v>14</v>
      </c>
      <c r="N5" s="25" t="n">
        <v>2</v>
      </c>
      <c r="O5" s="25" t="n">
        <v>12</v>
      </c>
      <c r="P5" s="25" t="n">
        <v>8</v>
      </c>
      <c r="Q5" s="25" t="n">
        <v>18</v>
      </c>
      <c r="R5" s="25" t="n">
        <v>16</v>
      </c>
      <c r="S5" s="25" t="n">
        <v>4</v>
      </c>
      <c r="T5" s="25" t="n">
        <v>6</v>
      </c>
    </row>
    <row r="6" ht="15" customHeight="1" s="22">
      <c r="A6" s="21" t="inlineStr">
        <is>
          <t>PAR</t>
        </is>
      </c>
      <c r="C6" s="26" t="n">
        <v>5</v>
      </c>
      <c r="D6" s="26" t="n">
        <v>5</v>
      </c>
      <c r="E6" s="26" t="n">
        <v>4</v>
      </c>
      <c r="F6" s="26" t="n">
        <v>4</v>
      </c>
      <c r="G6" s="26" t="n">
        <v>3</v>
      </c>
      <c r="H6" s="26" t="n">
        <v>4</v>
      </c>
      <c r="I6" s="26" t="n">
        <v>5</v>
      </c>
      <c r="J6" s="26" t="n">
        <v>3</v>
      </c>
      <c r="K6" s="26" t="n">
        <v>4</v>
      </c>
      <c r="L6" s="26" t="n">
        <v>4</v>
      </c>
      <c r="M6" s="26" t="n">
        <v>3</v>
      </c>
      <c r="N6" s="26" t="n">
        <v>5</v>
      </c>
      <c r="O6" s="26" t="n">
        <v>3</v>
      </c>
      <c r="P6" s="26" t="n">
        <v>5</v>
      </c>
      <c r="Q6" s="26" t="n">
        <v>3</v>
      </c>
      <c r="R6" s="26" t="n">
        <v>4</v>
      </c>
      <c r="S6" s="26" t="n">
        <v>4</v>
      </c>
      <c r="T6" s="26" t="n">
        <v>4</v>
      </c>
    </row>
    <row r="7" ht="24" customHeight="1" s="22">
      <c r="A7" s="27" t="inlineStr">
        <is>
          <t>Jugador</t>
        </is>
      </c>
      <c r="B7" s="27" t="inlineStr">
        <is>
          <t>Equipo</t>
        </is>
      </c>
      <c r="C7" s="27" t="inlineStr">
        <is>
          <t>H1</t>
        </is>
      </c>
      <c r="D7" s="27" t="inlineStr">
        <is>
          <t>H2</t>
        </is>
      </c>
      <c r="E7" s="27" t="inlineStr">
        <is>
          <t>H3</t>
        </is>
      </c>
      <c r="F7" s="27" t="inlineStr">
        <is>
          <t>H4</t>
        </is>
      </c>
      <c r="G7" s="27" t="inlineStr">
        <is>
          <t>H5</t>
        </is>
      </c>
      <c r="H7" s="27" t="inlineStr">
        <is>
          <t>H6</t>
        </is>
      </c>
      <c r="I7" s="27" t="inlineStr">
        <is>
          <t>H7</t>
        </is>
      </c>
      <c r="J7" s="27" t="inlineStr">
        <is>
          <t>H8</t>
        </is>
      </c>
      <c r="K7" s="27" t="inlineStr">
        <is>
          <t>H9</t>
        </is>
      </c>
      <c r="L7" s="27" t="inlineStr">
        <is>
          <t>H10</t>
        </is>
      </c>
      <c r="M7" s="27" t="inlineStr">
        <is>
          <t>H11</t>
        </is>
      </c>
      <c r="N7" s="27" t="inlineStr">
        <is>
          <t>H12</t>
        </is>
      </c>
      <c r="O7" s="27" t="inlineStr">
        <is>
          <t>H13</t>
        </is>
      </c>
      <c r="P7" s="27" t="inlineStr">
        <is>
          <t>H14</t>
        </is>
      </c>
      <c r="Q7" s="27" t="inlineStr">
        <is>
          <t>H15</t>
        </is>
      </c>
      <c r="R7" s="27" t="inlineStr">
        <is>
          <t>H16</t>
        </is>
      </c>
      <c r="S7" s="27" t="inlineStr">
        <is>
          <t>H17</t>
        </is>
      </c>
      <c r="T7" s="27" t="inlineStr">
        <is>
          <t>H18</t>
        </is>
      </c>
      <c r="U7" s="27" t="inlineStr">
        <is>
          <t>Gross</t>
        </is>
      </c>
      <c r="V7" s="27" t="inlineStr">
        <is>
          <t>Hdcp día</t>
        </is>
      </c>
      <c r="W7" s="27" t="inlineStr">
        <is>
          <t>Hdcp aplic</t>
        </is>
      </c>
      <c r="X7" s="27" t="inlineStr">
        <is>
          <t>Neto</t>
        </is>
      </c>
    </row>
    <row r="8" ht="15" customHeight="1" s="22">
      <c r="A8" s="28" t="inlineStr">
        <is>
          <t>Tarasido, Gonzalo</t>
        </is>
      </c>
      <c r="B8" s="28" t="inlineStr">
        <is>
          <t>GRIS</t>
        </is>
      </c>
      <c r="C8" s="29" t="n">
        <v>5</v>
      </c>
      <c r="D8" s="29" t="n">
        <v>7</v>
      </c>
      <c r="E8" s="29" t="n">
        <v>5</v>
      </c>
      <c r="F8" s="29" t="n">
        <v>4</v>
      </c>
      <c r="G8" s="29" t="n">
        <v>4</v>
      </c>
      <c r="H8" s="29" t="n">
        <v>6</v>
      </c>
      <c r="I8" s="29" t="n">
        <v>7</v>
      </c>
      <c r="J8" s="29" t="n">
        <v>3</v>
      </c>
      <c r="K8" s="29" t="n">
        <v>5</v>
      </c>
      <c r="L8" s="29" t="n">
        <v>4</v>
      </c>
      <c r="M8" s="29" t="n">
        <v>3</v>
      </c>
      <c r="N8" s="29" t="n">
        <v>6</v>
      </c>
      <c r="O8" s="29" t="n">
        <v>4</v>
      </c>
      <c r="P8" s="29" t="n">
        <v>5</v>
      </c>
      <c r="Q8" s="29" t="n">
        <v>2</v>
      </c>
      <c r="R8" s="29" t="n">
        <v>6</v>
      </c>
      <c r="S8" s="29" t="n">
        <v>5</v>
      </c>
      <c r="T8" s="29" t="n">
        <v>5</v>
      </c>
      <c r="U8" s="28">
        <f>IF(COUNT(C8:T8)=18,SUM(C8:T8),"")</f>
        <v/>
      </c>
      <c r="V8" s="28" t="n">
        <v>10</v>
      </c>
      <c r="W8" s="28">
        <f>IF(V8="","",MIN(V8,26))</f>
        <v/>
      </c>
      <c r="X8" s="28">
        <f>IF(OR(U8="",W8=""),"",U8-W8)</f>
        <v/>
      </c>
    </row>
    <row r="9" ht="15" customHeight="1" s="22">
      <c r="A9" s="28" t="inlineStr">
        <is>
          <t>Basaldua, Ignacio</t>
        </is>
      </c>
      <c r="B9" s="28" t="inlineStr">
        <is>
          <t>GRIS</t>
        </is>
      </c>
      <c r="C9" s="29" t="n">
        <v>5</v>
      </c>
      <c r="D9" s="29" t="n">
        <v>6</v>
      </c>
      <c r="E9" s="29" t="n">
        <v>5</v>
      </c>
      <c r="F9" s="29" t="n">
        <v>4</v>
      </c>
      <c r="G9" s="29" t="n">
        <v>4</v>
      </c>
      <c r="H9" s="29" t="n">
        <v>5</v>
      </c>
      <c r="I9" s="29" t="n">
        <v>6</v>
      </c>
      <c r="J9" s="29" t="n">
        <v>4</v>
      </c>
      <c r="K9" s="29" t="n">
        <v>5</v>
      </c>
      <c r="L9" s="29" t="n">
        <v>5</v>
      </c>
      <c r="M9" s="29" t="n">
        <v>3</v>
      </c>
      <c r="N9" s="29" t="n">
        <v>6</v>
      </c>
      <c r="O9" s="29" t="n">
        <v>6</v>
      </c>
      <c r="P9" s="29" t="n">
        <v>5</v>
      </c>
      <c r="Q9" s="29" t="n">
        <v>4</v>
      </c>
      <c r="R9" s="29" t="n">
        <v>6</v>
      </c>
      <c r="S9" s="29" t="n">
        <v>6</v>
      </c>
      <c r="T9" s="29" t="n">
        <v>6</v>
      </c>
      <c r="U9" s="28">
        <f>IF(COUNT(C9:T9)=18,SUM(C9:T9),"")</f>
        <v/>
      </c>
      <c r="V9" s="28" t="n">
        <v>13</v>
      </c>
      <c r="W9" s="28">
        <f>IF(V9="","",MIN(V9,26))</f>
        <v/>
      </c>
      <c r="X9" s="28">
        <f>IF(OR(U9="",W9=""),"",U9-W9)</f>
        <v/>
      </c>
    </row>
    <row r="10" ht="15" customHeight="1" s="22">
      <c r="A10" s="28" t="inlineStr">
        <is>
          <t>Pannullo, Tincho</t>
        </is>
      </c>
      <c r="B10" s="28" t="inlineStr">
        <is>
          <t>GRIS</t>
        </is>
      </c>
      <c r="C10" s="29" t="n">
        <v>5</v>
      </c>
      <c r="D10" s="29" t="n">
        <v>8</v>
      </c>
      <c r="E10" s="29" t="n">
        <v>6</v>
      </c>
      <c r="F10" s="29" t="n">
        <v>5</v>
      </c>
      <c r="G10" s="29" t="n">
        <v>3</v>
      </c>
      <c r="H10" s="29" t="n">
        <v>5</v>
      </c>
      <c r="I10" s="29" t="n">
        <v>6</v>
      </c>
      <c r="J10" s="29" t="n">
        <v>3</v>
      </c>
      <c r="K10" s="29" t="n">
        <v>5</v>
      </c>
      <c r="L10" s="29" t="n">
        <v>4</v>
      </c>
      <c r="M10" s="29" t="n">
        <v>4</v>
      </c>
      <c r="N10" s="29" t="n">
        <v>6</v>
      </c>
      <c r="O10" s="29" t="n">
        <v>7</v>
      </c>
      <c r="P10" s="29" t="n">
        <v>6</v>
      </c>
      <c r="Q10" s="29" t="n">
        <v>4</v>
      </c>
      <c r="R10" s="29" t="n">
        <v>6</v>
      </c>
      <c r="S10" s="29" t="n">
        <v>6</v>
      </c>
      <c r="T10" s="29" t="n">
        <v>5</v>
      </c>
      <c r="U10" s="28">
        <f>IF(COUNT(C10:T10)=18,SUM(C10:T10),"")</f>
        <v/>
      </c>
      <c r="V10" s="28" t="n">
        <v>17</v>
      </c>
      <c r="W10" s="28">
        <f>IF(V10="","",MIN(V10,26))</f>
        <v/>
      </c>
      <c r="X10" s="28">
        <f>IF(OR(U10="",W10=""),"",U10-W10)</f>
        <v/>
      </c>
    </row>
    <row r="11" ht="15" customHeight="1" s="22">
      <c r="A11" s="28" t="inlineStr">
        <is>
          <t>Benegas, Pancho</t>
        </is>
      </c>
      <c r="B11" s="28" t="inlineStr">
        <is>
          <t>GRIS</t>
        </is>
      </c>
      <c r="C11" s="29" t="n">
        <v>5</v>
      </c>
      <c r="D11" s="29" t="n">
        <v>6</v>
      </c>
      <c r="E11" s="29" t="n">
        <v>7</v>
      </c>
      <c r="F11" s="29" t="n">
        <v>5</v>
      </c>
      <c r="G11" s="29" t="n">
        <v>3</v>
      </c>
      <c r="H11" s="29" t="n">
        <v>5</v>
      </c>
      <c r="I11" s="29" t="n">
        <v>8</v>
      </c>
      <c r="J11" s="29" t="n">
        <v>4</v>
      </c>
      <c r="K11" s="29" t="n">
        <v>6</v>
      </c>
      <c r="L11" s="29" t="n">
        <v>5</v>
      </c>
      <c r="M11" s="29" t="n">
        <v>2</v>
      </c>
      <c r="N11" s="29" t="n">
        <v>6</v>
      </c>
      <c r="O11" s="29" t="n">
        <v>5</v>
      </c>
      <c r="P11" s="29" t="n">
        <v>7</v>
      </c>
      <c r="Q11" s="29" t="n">
        <v>5</v>
      </c>
      <c r="R11" s="29" t="n">
        <v>6</v>
      </c>
      <c r="S11" s="29" t="n">
        <v>8</v>
      </c>
      <c r="T11" s="29" t="n">
        <v>6</v>
      </c>
      <c r="U11" s="28">
        <f>IF(COUNT(C11:T11)=18,SUM(C11:T11),"")</f>
        <v/>
      </c>
      <c r="V11" s="28" t="n">
        <v>21</v>
      </c>
      <c r="W11" s="28">
        <f>IF(V11="","",MIN(V11,26))</f>
        <v/>
      </c>
      <c r="X11" s="28">
        <f>IF(OR(U11="",W11=""),"",U11-W11)</f>
        <v/>
      </c>
    </row>
    <row r="12" ht="15" customHeight="1" s="22">
      <c r="A12" s="28" t="inlineStr">
        <is>
          <t>Guevara, Franki</t>
        </is>
      </c>
      <c r="B12" s="28" t="inlineStr">
        <is>
          <t>GRIS</t>
        </is>
      </c>
      <c r="C12" s="29" t="n">
        <v>7</v>
      </c>
      <c r="D12" s="29" t="n">
        <v>6</v>
      </c>
      <c r="E12" s="29" t="n">
        <v>6</v>
      </c>
      <c r="F12" s="29" t="n">
        <v>5</v>
      </c>
      <c r="G12" s="29" t="n">
        <v>7</v>
      </c>
      <c r="H12" s="29" t="n">
        <v>6</v>
      </c>
      <c r="I12" s="29" t="n">
        <v>8</v>
      </c>
      <c r="J12" s="29" t="n">
        <v>4</v>
      </c>
      <c r="K12" s="29" t="n">
        <v>5</v>
      </c>
      <c r="L12" s="29" t="n">
        <v>5</v>
      </c>
      <c r="M12" s="29" t="n">
        <v>4</v>
      </c>
      <c r="N12" s="29" t="n">
        <v>7</v>
      </c>
      <c r="O12" s="29" t="n">
        <v>4</v>
      </c>
      <c r="P12" s="29" t="n">
        <v>6</v>
      </c>
      <c r="Q12" s="29" t="n">
        <v>4</v>
      </c>
      <c r="R12" s="29" t="n">
        <v>5</v>
      </c>
      <c r="S12" s="29" t="n">
        <v>6</v>
      </c>
      <c r="T12" s="29" t="n">
        <v>6</v>
      </c>
      <c r="U12" s="28">
        <f>IF(COUNT(C12:T12)=18,SUM(C12:T12),"")</f>
        <v/>
      </c>
      <c r="V12" s="28" t="n">
        <v>21</v>
      </c>
      <c r="W12" s="28">
        <f>IF(V12="","",MIN(V12,26))</f>
        <v/>
      </c>
      <c r="X12" s="28">
        <f>IF(OR(U12="",W12=""),"",U12-W12)</f>
        <v/>
      </c>
    </row>
    <row r="13" ht="15" customHeight="1" s="22">
      <c r="A13" s="28" t="inlineStr">
        <is>
          <t>Dipaola, Martin</t>
        </is>
      </c>
      <c r="B13" s="28" t="inlineStr">
        <is>
          <t>GRIS</t>
        </is>
      </c>
      <c r="C13" s="29" t="n">
        <v>6</v>
      </c>
      <c r="D13" s="29" t="n">
        <v>7</v>
      </c>
      <c r="E13" s="29" t="n">
        <v>6</v>
      </c>
      <c r="F13" s="29" t="n">
        <v>5</v>
      </c>
      <c r="G13" s="29" t="n">
        <v>4</v>
      </c>
      <c r="H13" s="29" t="n">
        <v>8</v>
      </c>
      <c r="I13" s="29" t="n">
        <v>8</v>
      </c>
      <c r="J13" s="29" t="n">
        <v>4</v>
      </c>
      <c r="K13" s="29" t="n">
        <v>6</v>
      </c>
      <c r="L13" s="29" t="n">
        <v>6</v>
      </c>
      <c r="M13" s="29" t="n">
        <v>3</v>
      </c>
      <c r="N13" s="29" t="n">
        <v>6</v>
      </c>
      <c r="O13" s="29" t="n">
        <v>10</v>
      </c>
      <c r="P13" s="29" t="n">
        <v>9</v>
      </c>
      <c r="Q13" s="29" t="n">
        <v>3</v>
      </c>
      <c r="R13" s="29" t="n">
        <v>6</v>
      </c>
      <c r="S13" s="29" t="n">
        <v>5</v>
      </c>
      <c r="T13" s="29" t="n">
        <v>8</v>
      </c>
      <c r="U13" s="28">
        <f>IF(COUNT(C13:T13)=18,SUM(C13:T13),"")</f>
        <v/>
      </c>
      <c r="V13" s="28" t="n">
        <v>27</v>
      </c>
      <c r="W13" s="28">
        <f>IF(V13="","",MIN(V13,26))</f>
        <v/>
      </c>
      <c r="X13" s="28">
        <f>IF(OR(U13="",W13=""),"",U13-W13)</f>
        <v/>
      </c>
    </row>
    <row r="14" ht="15" customHeight="1" s="22">
      <c r="A14" s="28" t="inlineStr">
        <is>
          <t>Gatto, Mariano</t>
        </is>
      </c>
      <c r="B14" s="28" t="inlineStr">
        <is>
          <t>ROJO</t>
        </is>
      </c>
      <c r="C14" s="29" t="n">
        <v>5</v>
      </c>
      <c r="D14" s="29" t="n">
        <v>7</v>
      </c>
      <c r="E14" s="29" t="n">
        <v>5</v>
      </c>
      <c r="F14" s="29" t="n">
        <v>5</v>
      </c>
      <c r="G14" s="29" t="n">
        <v>4</v>
      </c>
      <c r="H14" s="29" t="n">
        <v>6</v>
      </c>
      <c r="I14" s="29" t="n">
        <v>5</v>
      </c>
      <c r="J14" s="29" t="n">
        <v>3</v>
      </c>
      <c r="K14" s="29" t="n">
        <v>5</v>
      </c>
      <c r="L14" s="29" t="n">
        <v>4</v>
      </c>
      <c r="M14" s="29" t="n">
        <v>6</v>
      </c>
      <c r="N14" s="29" t="n">
        <v>4</v>
      </c>
      <c r="O14" s="29" t="n">
        <v>4</v>
      </c>
      <c r="P14" s="29" t="n">
        <v>6</v>
      </c>
      <c r="Q14" s="29" t="n">
        <v>6</v>
      </c>
      <c r="R14" s="29" t="n">
        <v>7</v>
      </c>
      <c r="S14" s="29" t="n">
        <v>4</v>
      </c>
      <c r="T14" s="29" t="n">
        <v>5</v>
      </c>
      <c r="U14" s="28">
        <f>IF(COUNT(C14:T14)=18,SUM(C14:T14),"")</f>
        <v/>
      </c>
      <c r="V14" s="28" t="n">
        <v>6</v>
      </c>
      <c r="W14" s="28">
        <f>IF(V14="","",MIN(V14,26))</f>
        <v/>
      </c>
      <c r="X14" s="28">
        <f>IF(OR(U14="",W14=""),"",U14-W14)</f>
        <v/>
      </c>
    </row>
    <row r="15" ht="15" customHeight="1" s="22">
      <c r="A15" s="28" t="inlineStr">
        <is>
          <t>Elizalde, Juancho</t>
        </is>
      </c>
      <c r="B15" s="28" t="inlineStr">
        <is>
          <t>ROJO</t>
        </is>
      </c>
      <c r="C15" s="29" t="n">
        <v>7</v>
      </c>
      <c r="D15" s="29" t="n">
        <v>5</v>
      </c>
      <c r="E15" s="29" t="n">
        <v>6</v>
      </c>
      <c r="F15" s="29" t="n">
        <v>4</v>
      </c>
      <c r="G15" s="29" t="n">
        <v>3</v>
      </c>
      <c r="H15" s="29" t="n">
        <v>4</v>
      </c>
      <c r="I15" s="29" t="n">
        <v>6</v>
      </c>
      <c r="J15" s="29" t="n">
        <v>3</v>
      </c>
      <c r="K15" s="29" t="n">
        <v>7</v>
      </c>
      <c r="L15" s="29" t="n">
        <v>6</v>
      </c>
      <c r="M15" s="29" t="n">
        <v>3</v>
      </c>
      <c r="N15" s="29" t="n">
        <v>8</v>
      </c>
      <c r="O15" s="29" t="n">
        <v>4</v>
      </c>
      <c r="P15" s="29" t="n">
        <v>5</v>
      </c>
      <c r="Q15" s="29" t="n">
        <v>3</v>
      </c>
      <c r="R15" s="29" t="n">
        <v>4</v>
      </c>
      <c r="S15" s="29" t="n">
        <v>6</v>
      </c>
      <c r="T15" s="29" t="n">
        <v>6</v>
      </c>
      <c r="U15" s="28">
        <f>IF(COUNT(C15:T15)=18,SUM(C15:T15),"")</f>
        <v/>
      </c>
      <c r="V15" s="28" t="n">
        <v>11</v>
      </c>
      <c r="W15" s="28">
        <f>IF(V15="","",MIN(V15,26))</f>
        <v/>
      </c>
      <c r="X15" s="28">
        <f>IF(OR(U15="",W15=""),"",U15-W15)</f>
        <v/>
      </c>
    </row>
    <row r="16" ht="15" customHeight="1" s="22">
      <c r="A16" s="28" t="inlineStr">
        <is>
          <t>Canónico, Agus</t>
        </is>
      </c>
      <c r="B16" s="28" t="inlineStr">
        <is>
          <t>ROJO</t>
        </is>
      </c>
      <c r="C16" s="29" t="n">
        <v>6</v>
      </c>
      <c r="D16" s="29" t="n">
        <v>5</v>
      </c>
      <c r="E16" s="29" t="n">
        <v>6</v>
      </c>
      <c r="F16" s="29" t="n">
        <v>8</v>
      </c>
      <c r="G16" s="29" t="n">
        <v>5</v>
      </c>
      <c r="H16" s="29" t="n">
        <v>7</v>
      </c>
      <c r="I16" s="29" t="n">
        <v>9</v>
      </c>
      <c r="J16" s="29" t="n">
        <v>3</v>
      </c>
      <c r="K16" s="29" t="n">
        <v>5</v>
      </c>
      <c r="L16" s="29" t="n">
        <v>5</v>
      </c>
      <c r="M16" s="29" t="n">
        <v>3</v>
      </c>
      <c r="N16" s="29" t="n">
        <v>7</v>
      </c>
      <c r="O16" s="29" t="n">
        <v>4</v>
      </c>
      <c r="P16" s="29" t="n">
        <v>6</v>
      </c>
      <c r="Q16" s="29" t="n">
        <v>3</v>
      </c>
      <c r="R16" s="29" t="n">
        <v>5</v>
      </c>
      <c r="S16" s="29" t="n">
        <v>5</v>
      </c>
      <c r="T16" s="29" t="n">
        <v>6</v>
      </c>
      <c r="U16" s="28">
        <f>IF(COUNT(C16:T16)=18,SUM(C16:T16),"")</f>
        <v/>
      </c>
      <c r="V16" s="28" t="n">
        <v>16</v>
      </c>
      <c r="W16" s="28">
        <f>IF(V16="","",MIN(V16,26))</f>
        <v/>
      </c>
      <c r="X16" s="28">
        <f>IF(OR(U16="",W16=""),"",U16-W16)</f>
        <v/>
      </c>
    </row>
    <row r="17" ht="15" customHeight="1" s="22">
      <c r="A17" s="28" t="inlineStr">
        <is>
          <t>Vogelius, Nico</t>
        </is>
      </c>
      <c r="B17" s="28" t="inlineStr">
        <is>
          <t>ROJO</t>
        </is>
      </c>
      <c r="C17" s="29" t="n">
        <v>6</v>
      </c>
      <c r="D17" s="29" t="n">
        <v>5</v>
      </c>
      <c r="E17" s="29" t="n">
        <v>5</v>
      </c>
      <c r="F17" s="29" t="n">
        <v>5</v>
      </c>
      <c r="G17" s="29" t="n">
        <v>4</v>
      </c>
      <c r="H17" s="29" t="n">
        <v>4</v>
      </c>
      <c r="I17" s="29" t="n">
        <v>9</v>
      </c>
      <c r="J17" s="29" t="n">
        <v>4</v>
      </c>
      <c r="K17" s="29" t="n">
        <v>5</v>
      </c>
      <c r="L17" s="29" t="n">
        <v>4</v>
      </c>
      <c r="M17" s="29" t="n">
        <v>4</v>
      </c>
      <c r="N17" s="29" t="n">
        <v>6</v>
      </c>
      <c r="O17" s="29" t="n">
        <v>5</v>
      </c>
      <c r="P17" s="29" t="n">
        <v>7</v>
      </c>
      <c r="Q17" s="29" t="n">
        <v>4</v>
      </c>
      <c r="R17" s="29" t="n">
        <v>4</v>
      </c>
      <c r="S17" s="29" t="n">
        <v>4</v>
      </c>
      <c r="T17" s="29" t="n">
        <v>5</v>
      </c>
      <c r="U17" s="28">
        <f>IF(COUNT(C17:T17)=18,SUM(C17:T17),"")</f>
        <v/>
      </c>
      <c r="V17" s="28" t="n">
        <v>12</v>
      </c>
      <c r="W17" s="28">
        <f>IF(V17="","",MIN(V17,26))</f>
        <v/>
      </c>
      <c r="X17" s="28">
        <f>IF(OR(U17="",W17=""),"",U17-W17)</f>
        <v/>
      </c>
    </row>
    <row r="18" ht="15" customHeight="1" s="22">
      <c r="A18" s="28" t="inlineStr">
        <is>
          <t>Mendez, Pato</t>
        </is>
      </c>
      <c r="B18" s="28" t="inlineStr">
        <is>
          <t>ROJO</t>
        </is>
      </c>
      <c r="C18" s="29" t="n">
        <v>6</v>
      </c>
      <c r="D18" s="29" t="n">
        <v>6</v>
      </c>
      <c r="E18" s="29" t="n">
        <v>6</v>
      </c>
      <c r="F18" s="29" t="n">
        <v>6</v>
      </c>
      <c r="G18" s="29" t="n">
        <v>5</v>
      </c>
      <c r="H18" s="29" t="n">
        <v>5</v>
      </c>
      <c r="I18" s="29" t="n">
        <v>7</v>
      </c>
      <c r="J18" s="29" t="n">
        <v>4</v>
      </c>
      <c r="K18" s="29" t="n">
        <v>8</v>
      </c>
      <c r="L18" s="29" t="n">
        <v>5</v>
      </c>
      <c r="M18" s="29" t="n">
        <v>6</v>
      </c>
      <c r="N18" s="29" t="n">
        <v>5</v>
      </c>
      <c r="O18" s="29" t="n">
        <v>4</v>
      </c>
      <c r="P18" s="29" t="n">
        <v>8</v>
      </c>
      <c r="Q18" s="29" t="n">
        <v>5</v>
      </c>
      <c r="R18" s="29" t="n">
        <v>5</v>
      </c>
      <c r="S18" s="29" t="n">
        <v>6</v>
      </c>
      <c r="T18" s="29" t="n">
        <v>5</v>
      </c>
      <c r="U18" s="28">
        <f>IF(COUNT(C18:T18)=18,SUM(C18:T18),"")</f>
        <v/>
      </c>
      <c r="V18" s="28" t="n">
        <v>17</v>
      </c>
      <c r="W18" s="28">
        <f>IF(V18="","",MIN(V18,26))</f>
        <v/>
      </c>
      <c r="X18" s="28">
        <f>IF(OR(U18="",W18=""),"",U18-W18)</f>
        <v/>
      </c>
    </row>
    <row r="19" ht="15" customHeight="1" s="22">
      <c r="A19" s="28" t="inlineStr">
        <is>
          <t>Molinario, Andy</t>
        </is>
      </c>
      <c r="B19" s="28" t="inlineStr">
        <is>
          <t>ROJO</t>
        </is>
      </c>
      <c r="C19" s="29" t="n">
        <v>6</v>
      </c>
      <c r="D19" s="29" t="n">
        <v>6</v>
      </c>
      <c r="E19" s="29" t="n">
        <v>5</v>
      </c>
      <c r="F19" s="29" t="n">
        <v>7</v>
      </c>
      <c r="G19" s="29" t="n">
        <v>4</v>
      </c>
      <c r="H19" s="29" t="n">
        <v>6</v>
      </c>
      <c r="I19" s="29" t="n">
        <v>6</v>
      </c>
      <c r="J19" s="29" t="n">
        <v>4</v>
      </c>
      <c r="K19" s="29" t="n">
        <v>6</v>
      </c>
      <c r="L19" s="29" t="n">
        <v>7</v>
      </c>
      <c r="M19" s="29" t="n">
        <v>4</v>
      </c>
      <c r="N19" s="29" t="n">
        <v>7</v>
      </c>
      <c r="O19" s="29" t="n">
        <v>7</v>
      </c>
      <c r="P19" s="29" t="n">
        <v>7</v>
      </c>
      <c r="Q19" s="29" t="n">
        <v>2</v>
      </c>
      <c r="R19" s="29" t="n">
        <v>6</v>
      </c>
      <c r="S19" s="29" t="n">
        <v>6</v>
      </c>
      <c r="T19" s="29" t="n">
        <v>6</v>
      </c>
      <c r="U19" s="28">
        <f>IF(COUNT(C19:T19)=18,SUM(C19:T19),"")</f>
        <v/>
      </c>
      <c r="V19" s="28" t="n">
        <v>18</v>
      </c>
      <c r="W19" s="28">
        <f>IF(V19="","",MIN(V19,26))</f>
        <v/>
      </c>
      <c r="X19" s="28">
        <f>IF(OR(U19="",W19=""),"",U19-W19)</f>
        <v/>
      </c>
    </row>
    <row r="20" ht="15" customHeight="1" s="22">
      <c r="A20" s="28" t="inlineStr">
        <is>
          <t>Fernandez, Lucas</t>
        </is>
      </c>
      <c r="B20" s="28" t="inlineStr">
        <is>
          <t>ROJO</t>
        </is>
      </c>
      <c r="C20" s="29" t="n">
        <v>6</v>
      </c>
      <c r="D20" s="29" t="n">
        <v>6</v>
      </c>
      <c r="E20" s="29" t="n">
        <v>5</v>
      </c>
      <c r="F20" s="29" t="n">
        <v>6</v>
      </c>
      <c r="G20" s="29" t="n">
        <v>4</v>
      </c>
      <c r="H20" s="29" t="n">
        <v>6</v>
      </c>
      <c r="I20" s="29" t="n">
        <v>6</v>
      </c>
      <c r="J20" s="29" t="n">
        <v>3</v>
      </c>
      <c r="K20" s="29" t="n">
        <v>5</v>
      </c>
      <c r="L20" s="29" t="n">
        <v>6</v>
      </c>
      <c r="M20" s="29" t="n">
        <v>4</v>
      </c>
      <c r="N20" s="29" t="n">
        <v>5</v>
      </c>
      <c r="O20" s="29" t="n">
        <v>4</v>
      </c>
      <c r="P20" s="29" t="n">
        <v>7</v>
      </c>
      <c r="Q20" s="29" t="n">
        <v>3</v>
      </c>
      <c r="R20" s="29" t="n">
        <v>5</v>
      </c>
      <c r="S20" s="29" t="n">
        <v>5</v>
      </c>
      <c r="T20" s="29" t="n">
        <v>4</v>
      </c>
      <c r="U20" s="28">
        <f>IF(COUNT(C20:T20)=18,SUM(C20:T20),"")</f>
        <v/>
      </c>
      <c r="V20" s="28" t="n">
        <v>21</v>
      </c>
      <c r="W20" s="28">
        <f>IF(V20="","",MIN(V20,26))</f>
        <v/>
      </c>
      <c r="X20" s="28">
        <f>IF(OR(U20="",W20=""),"",U20-W20)</f>
        <v/>
      </c>
    </row>
    <row r="21" ht="15" customHeight="1" s="22">
      <c r="A21" s="31" t="inlineStr">
        <is>
          <t>Gatto, Alejandro</t>
        </is>
      </c>
      <c r="B21" s="31" t="inlineStr">
        <is>
          <t>GRIS</t>
        </is>
      </c>
      <c r="C21" s="32" t="n">
        <v>8</v>
      </c>
      <c r="D21" s="32" t="n">
        <v>6</v>
      </c>
      <c r="E21" s="32" t="n">
        <v>6</v>
      </c>
      <c r="F21" s="32" t="n">
        <v>5</v>
      </c>
      <c r="G21" s="32" t="n">
        <v>4</v>
      </c>
      <c r="H21" s="32" t="n">
        <v>11</v>
      </c>
      <c r="I21" s="32" t="n">
        <v>10</v>
      </c>
      <c r="J21" s="32" t="n">
        <v>6</v>
      </c>
      <c r="K21" s="32" t="n">
        <v>8</v>
      </c>
      <c r="L21" s="32" t="n">
        <v>6</v>
      </c>
      <c r="M21" s="32" t="n">
        <v>5</v>
      </c>
      <c r="N21" s="32" t="n">
        <v>5</v>
      </c>
      <c r="O21" s="32" t="n">
        <v>4</v>
      </c>
      <c r="P21" s="32" t="n">
        <v>8</v>
      </c>
      <c r="Q21" s="32" t="n">
        <v>6</v>
      </c>
      <c r="R21" s="32" t="n">
        <v>6</v>
      </c>
      <c r="S21" s="32" t="n">
        <v>9</v>
      </c>
      <c r="T21" s="32" t="n">
        <v>7</v>
      </c>
      <c r="U21" s="31">
        <f>IF(COUNT(C21:T21)=18,SUM(C21:T21),"")</f>
        <v/>
      </c>
      <c r="V21" s="31" t="n">
        <v>19</v>
      </c>
      <c r="W21" s="31">
        <f>IF(V21="","",MIN(V21,26))</f>
        <v/>
      </c>
      <c r="X21" s="31">
        <f>IF(OR(U21="",W21=""),"",U21-W21)</f>
        <v/>
      </c>
    </row>
    <row r="22" ht="15" customHeight="1" s="22">
      <c r="A22" s="31" t="inlineStr">
        <is>
          <t>Alfonso, Juan Ignacio</t>
        </is>
      </c>
      <c r="B22" s="31" t="inlineStr">
        <is>
          <t>ROJO</t>
        </is>
      </c>
      <c r="C22" s="32" t="n">
        <v>5</v>
      </c>
      <c r="D22" s="32" t="n">
        <v>7</v>
      </c>
      <c r="E22" s="32" t="n">
        <v>5</v>
      </c>
      <c r="F22" s="32" t="n">
        <v>4</v>
      </c>
      <c r="G22" s="32" t="n">
        <v>4</v>
      </c>
      <c r="H22" s="32" t="n">
        <v>10</v>
      </c>
      <c r="I22" s="32" t="n">
        <v>7</v>
      </c>
      <c r="J22" s="32" t="n">
        <v>5</v>
      </c>
      <c r="K22" s="32" t="n">
        <v>6</v>
      </c>
      <c r="L22" s="32" t="n">
        <v>4</v>
      </c>
      <c r="M22" s="32" t="n">
        <v>5</v>
      </c>
      <c r="N22" s="32" t="n">
        <v>10</v>
      </c>
      <c r="O22" s="32" t="n">
        <v>5</v>
      </c>
      <c r="P22" s="32" t="n">
        <v>8</v>
      </c>
      <c r="Q22" s="32" t="n">
        <v>2</v>
      </c>
      <c r="R22" s="32" t="n">
        <v>5</v>
      </c>
      <c r="S22" s="32" t="n">
        <v>5</v>
      </c>
      <c r="T22" s="32" t="n">
        <v>7</v>
      </c>
      <c r="U22" s="31">
        <f>IF(COUNT(C22:T22)=18,SUM(C22:T22),"")</f>
        <v/>
      </c>
      <c r="V22" s="31" t="n">
        <v>20</v>
      </c>
      <c r="W22" s="31">
        <f>IF(V22="","",MIN(V22,26))</f>
        <v/>
      </c>
      <c r="X22" s="31">
        <f>IF(OR(U22="",W22=""),"",U22-W22)</f>
        <v/>
      </c>
    </row>
  </sheetData>
  <mergeCells count="1">
    <mergeCell ref="A1:Y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X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21" min="1" max="1"/>
    <col width="8" customWidth="1" style="21" min="2" max="2"/>
    <col width="5" customWidth="1" style="21" min="3" max="3"/>
    <col width="8" customWidth="1" style="21" min="21" max="21"/>
    <col width="9" customWidth="1" style="21" min="22" max="22"/>
    <col width="10" customWidth="1" style="21" min="23" max="23"/>
    <col width="7" customWidth="1" style="21" min="24" max="24"/>
  </cols>
  <sheetData>
    <row r="1" ht="17.35" customHeight="1" s="22">
      <c r="A1" s="23" t="inlineStr">
        <is>
          <t>FECHA 5 — 04 Jul 2026 — La Orquídea Golf</t>
        </is>
      </c>
    </row>
    <row r="2" ht="15" customHeight="1" s="22">
      <c r="A2" s="24" t="inlineStr">
        <is>
          <t>Par 72 | Organizadores: Basaldua + Canónico</t>
        </is>
      </c>
    </row>
    <row r="5" ht="15" customHeight="1" s="22">
      <c r="A5" s="21" t="inlineStr">
        <is>
          <t>HCP</t>
        </is>
      </c>
      <c r="B5" s="21" t="inlineStr">
        <is>
          <t>cancha</t>
        </is>
      </c>
      <c r="C5" s="25" t="n">
        <v>9</v>
      </c>
      <c r="D5" s="25" t="n">
        <v>1</v>
      </c>
      <c r="E5" s="25" t="n">
        <v>17</v>
      </c>
      <c r="F5" s="25" t="n">
        <v>7</v>
      </c>
      <c r="G5" s="25" t="n">
        <v>11</v>
      </c>
      <c r="H5" s="25" t="n">
        <v>15</v>
      </c>
      <c r="I5" s="25" t="n">
        <v>3</v>
      </c>
      <c r="J5" s="25" t="n">
        <v>5</v>
      </c>
      <c r="K5" s="25" t="n">
        <v>13</v>
      </c>
      <c r="L5" s="25" t="n">
        <v>8</v>
      </c>
      <c r="M5" s="25" t="n">
        <v>10</v>
      </c>
      <c r="N5" s="25" t="n">
        <v>4</v>
      </c>
      <c r="O5" s="25" t="n">
        <v>6</v>
      </c>
      <c r="P5" s="25" t="n">
        <v>2</v>
      </c>
      <c r="Q5" s="25" t="n">
        <v>18</v>
      </c>
      <c r="R5" s="25" t="n">
        <v>12</v>
      </c>
      <c r="S5" s="25" t="n">
        <v>14</v>
      </c>
      <c r="T5" s="25" t="n">
        <v>16</v>
      </c>
    </row>
    <row r="6" ht="15" customHeight="1" s="22">
      <c r="A6" s="21" t="inlineStr">
        <is>
          <t>PAR</t>
        </is>
      </c>
      <c r="C6" s="26" t="n">
        <v>4</v>
      </c>
      <c r="D6" s="26" t="n">
        <v>5</v>
      </c>
      <c r="E6" s="26" t="n">
        <v>4</v>
      </c>
      <c r="F6" s="26" t="n">
        <v>3</v>
      </c>
      <c r="G6" s="26" t="n">
        <v>4</v>
      </c>
      <c r="H6" s="26" t="n">
        <v>5</v>
      </c>
      <c r="I6" s="26" t="n">
        <v>4</v>
      </c>
      <c r="J6" s="26" t="n">
        <v>4</v>
      </c>
      <c r="K6" s="26" t="n">
        <v>3</v>
      </c>
      <c r="L6" s="26" t="n">
        <v>5</v>
      </c>
      <c r="M6" s="26" t="n">
        <v>4</v>
      </c>
      <c r="N6" s="26" t="n">
        <v>4</v>
      </c>
      <c r="O6" s="26" t="n">
        <v>4</v>
      </c>
      <c r="P6" s="26" t="n">
        <v>4</v>
      </c>
      <c r="Q6" s="26" t="n">
        <v>3</v>
      </c>
      <c r="R6" s="26" t="n">
        <v>4</v>
      </c>
      <c r="S6" s="26" t="n">
        <v>3</v>
      </c>
      <c r="T6" s="26" t="n">
        <v>5</v>
      </c>
    </row>
    <row r="7" ht="15" customHeight="1" s="22">
      <c r="A7" s="27" t="inlineStr">
        <is>
          <t>Jugador</t>
        </is>
      </c>
      <c r="B7" s="27" t="inlineStr">
        <is>
          <t>Equipo</t>
        </is>
      </c>
      <c r="C7" s="27" t="inlineStr">
        <is>
          <t>H1</t>
        </is>
      </c>
      <c r="D7" s="27" t="inlineStr">
        <is>
          <t>H2</t>
        </is>
      </c>
      <c r="E7" s="27" t="inlineStr">
        <is>
          <t>H3</t>
        </is>
      </c>
      <c r="F7" s="27" t="inlineStr">
        <is>
          <t>H4</t>
        </is>
      </c>
      <c r="G7" s="27" t="inlineStr">
        <is>
          <t>H5</t>
        </is>
      </c>
      <c r="H7" s="27" t="inlineStr">
        <is>
          <t>H6</t>
        </is>
      </c>
      <c r="I7" s="27" t="inlineStr">
        <is>
          <t>H7</t>
        </is>
      </c>
      <c r="J7" s="27" t="inlineStr">
        <is>
          <t>H8</t>
        </is>
      </c>
      <c r="K7" s="27" t="inlineStr">
        <is>
          <t>H9</t>
        </is>
      </c>
      <c r="L7" s="27" t="inlineStr">
        <is>
          <t>H10</t>
        </is>
      </c>
      <c r="M7" s="27" t="inlineStr">
        <is>
          <t>H11</t>
        </is>
      </c>
      <c r="N7" s="27" t="inlineStr">
        <is>
          <t>H12</t>
        </is>
      </c>
      <c r="O7" s="27" t="inlineStr">
        <is>
          <t>H13</t>
        </is>
      </c>
      <c r="P7" s="27" t="inlineStr">
        <is>
          <t>H14</t>
        </is>
      </c>
      <c r="Q7" s="27" t="inlineStr">
        <is>
          <t>H15</t>
        </is>
      </c>
      <c r="R7" s="27" t="inlineStr">
        <is>
          <t>H16</t>
        </is>
      </c>
      <c r="S7" s="27" t="inlineStr">
        <is>
          <t>H17</t>
        </is>
      </c>
      <c r="T7" s="27" t="inlineStr">
        <is>
          <t>H18</t>
        </is>
      </c>
      <c r="U7" s="27" t="inlineStr">
        <is>
          <t>Gross</t>
        </is>
      </c>
      <c r="V7" s="27" t="inlineStr">
        <is>
          <t>Hdcp día</t>
        </is>
      </c>
      <c r="W7" s="27" t="inlineStr">
        <is>
          <t>Hdcp aplic</t>
        </is>
      </c>
      <c r="X7" s="27" t="inlineStr">
        <is>
          <t>Neto</t>
        </is>
      </c>
    </row>
    <row r="8" ht="15" customHeight="1" s="22">
      <c r="A8" s="28" t="inlineStr">
        <is>
          <t>Gonzalez, Agus</t>
        </is>
      </c>
      <c r="B8" s="28" t="inlineStr">
        <is>
          <t>GRIS</t>
        </is>
      </c>
      <c r="C8" s="29" t="n">
        <v>5</v>
      </c>
      <c r="D8" s="29" t="n">
        <v>9</v>
      </c>
      <c r="E8" s="29" t="n">
        <v>5</v>
      </c>
      <c r="F8" s="29" t="n">
        <v>2</v>
      </c>
      <c r="G8" s="29" t="n">
        <v>7</v>
      </c>
      <c r="H8" s="29" t="n">
        <v>7</v>
      </c>
      <c r="I8" s="29" t="n">
        <v>5</v>
      </c>
      <c r="J8" s="29" t="n">
        <v>5</v>
      </c>
      <c r="K8" s="29" t="n">
        <v>3</v>
      </c>
      <c r="L8" s="29" t="n">
        <v>6</v>
      </c>
      <c r="M8" s="29" t="n">
        <v>4</v>
      </c>
      <c r="N8" s="29" t="n">
        <v>5</v>
      </c>
      <c r="O8" s="29" t="n">
        <v>5</v>
      </c>
      <c r="P8" s="29" t="n">
        <v>5</v>
      </c>
      <c r="Q8" s="29" t="n">
        <v>3</v>
      </c>
      <c r="R8" s="29" t="n">
        <v>4</v>
      </c>
      <c r="S8" s="29" t="n">
        <v>3</v>
      </c>
      <c r="T8" s="29" t="n">
        <v>5</v>
      </c>
      <c r="U8" s="28">
        <f>IF(COUNT(C8:T8)=18,SUM(C8:T8),"")</f>
        <v/>
      </c>
      <c r="V8" s="28" t="n">
        <v>5</v>
      </c>
      <c r="W8" s="28">
        <f>IF(V8="","",MIN(V8,26))</f>
        <v/>
      </c>
      <c r="X8" s="28">
        <f>IF(OR(U8="",W8=""),"",U8-W8)</f>
        <v/>
      </c>
    </row>
    <row r="9" ht="15" customHeight="1" s="22">
      <c r="A9" s="28" t="inlineStr">
        <is>
          <t>Tarasido, Gonzalo</t>
        </is>
      </c>
      <c r="B9" s="28" t="inlineStr">
        <is>
          <t>GRIS</t>
        </is>
      </c>
      <c r="C9" s="29" t="n">
        <v>4</v>
      </c>
      <c r="D9" s="29" t="n">
        <v>7</v>
      </c>
      <c r="E9" s="29" t="n">
        <v>5</v>
      </c>
      <c r="F9" s="29" t="n">
        <v>3</v>
      </c>
      <c r="G9" s="29" t="n">
        <v>4</v>
      </c>
      <c r="H9" s="29" t="n">
        <v>6</v>
      </c>
      <c r="I9" s="29" t="n">
        <v>7</v>
      </c>
      <c r="J9" s="29" t="n">
        <v>5</v>
      </c>
      <c r="K9" s="29" t="n">
        <v>3</v>
      </c>
      <c r="L9" s="29" t="n">
        <v>9</v>
      </c>
      <c r="M9" s="29" t="n">
        <v>5</v>
      </c>
      <c r="N9" s="29" t="n">
        <v>5</v>
      </c>
      <c r="O9" s="29" t="n">
        <v>5</v>
      </c>
      <c r="P9" s="29" t="n">
        <v>7</v>
      </c>
      <c r="Q9" s="29" t="n">
        <v>4</v>
      </c>
      <c r="R9" s="29" t="n">
        <v>4</v>
      </c>
      <c r="S9" s="29" t="n">
        <v>3</v>
      </c>
      <c r="T9" s="29" t="n">
        <v>6</v>
      </c>
      <c r="U9" s="28">
        <f>IF(COUNT(C9:T9)=18,SUM(C9:T9),"")</f>
        <v/>
      </c>
      <c r="V9" s="28" t="n">
        <v>11</v>
      </c>
      <c r="W9" s="28">
        <f>IF(V9="","",MIN(V9,26))</f>
        <v/>
      </c>
      <c r="X9" s="28">
        <f>IF(OR(U9="",W9=""),"",U9-W9)</f>
        <v/>
      </c>
    </row>
    <row r="10" ht="15" customHeight="1" s="22">
      <c r="A10" s="28" t="inlineStr">
        <is>
          <t>Zunino, Javi</t>
        </is>
      </c>
      <c r="B10" s="28" t="inlineStr">
        <is>
          <t>GRIS</t>
        </is>
      </c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8">
        <f>IF(COUNT(C10:T10)=18,SUM(C10:T10),"")</f>
        <v/>
      </c>
      <c r="V10" s="28" t="n"/>
      <c r="W10" s="28">
        <f>IF(V10="","",MIN(V10,26))</f>
        <v/>
      </c>
      <c r="X10" s="28">
        <f>IF(OR(U10="",W10=""),"",U10-W10)</f>
        <v/>
      </c>
    </row>
    <row r="11" ht="15" customHeight="1" s="22">
      <c r="A11" s="28" t="inlineStr">
        <is>
          <t>Basaldua, Ignacio</t>
        </is>
      </c>
      <c r="B11" s="28" t="inlineStr">
        <is>
          <t>GRIS</t>
        </is>
      </c>
      <c r="C11" s="29" t="n">
        <v>4</v>
      </c>
      <c r="D11" s="29" t="n">
        <v>7</v>
      </c>
      <c r="E11" s="29" t="n">
        <v>4</v>
      </c>
      <c r="F11" s="29" t="n">
        <v>3</v>
      </c>
      <c r="G11" s="29" t="n">
        <v>8</v>
      </c>
      <c r="H11" s="29" t="n">
        <v>6</v>
      </c>
      <c r="I11" s="29" t="n">
        <v>5</v>
      </c>
      <c r="J11" s="29" t="n">
        <v>5</v>
      </c>
      <c r="K11" s="29" t="n">
        <v>3</v>
      </c>
      <c r="L11" s="29" t="n">
        <v>5</v>
      </c>
      <c r="M11" s="29" t="n">
        <v>5</v>
      </c>
      <c r="N11" s="29" t="n">
        <v>4</v>
      </c>
      <c r="O11" s="29" t="n">
        <v>4</v>
      </c>
      <c r="P11" s="29" t="n">
        <v>5</v>
      </c>
      <c r="Q11" s="29" t="n">
        <v>8</v>
      </c>
      <c r="R11" s="29" t="n">
        <v>4</v>
      </c>
      <c r="S11" s="29" t="n">
        <v>6</v>
      </c>
      <c r="T11" s="29" t="n">
        <v>7</v>
      </c>
      <c r="U11" s="28">
        <f>IF(COUNT(C11:T11)=18,SUM(C11:T11),"")</f>
        <v/>
      </c>
      <c r="V11" s="28" t="n">
        <v>15</v>
      </c>
      <c r="W11" s="28">
        <f>IF(V11="","",MIN(V11,26))</f>
        <v/>
      </c>
      <c r="X11" s="28">
        <f>IF(OR(U11="",W11=""),"",U11-W11)</f>
        <v/>
      </c>
    </row>
    <row r="12" ht="15" customHeight="1" s="22">
      <c r="A12" s="28" t="inlineStr">
        <is>
          <t>Benegas, Pancho</t>
        </is>
      </c>
      <c r="B12" s="28" t="inlineStr">
        <is>
          <t>GRIS</t>
        </is>
      </c>
      <c r="C12" s="29" t="n">
        <v>4</v>
      </c>
      <c r="D12" s="29" t="n">
        <v>9</v>
      </c>
      <c r="E12" s="29" t="n">
        <v>4</v>
      </c>
      <c r="F12" s="29" t="n">
        <v>5</v>
      </c>
      <c r="G12" s="29" t="n">
        <v>4</v>
      </c>
      <c r="H12" s="29" t="n">
        <v>9</v>
      </c>
      <c r="I12" s="29" t="n">
        <v>7</v>
      </c>
      <c r="J12" s="29" t="n">
        <v>8</v>
      </c>
      <c r="K12" s="29" t="n">
        <v>6</v>
      </c>
      <c r="L12" s="29" t="n">
        <v>8</v>
      </c>
      <c r="M12" s="29" t="n">
        <v>5</v>
      </c>
      <c r="N12" s="29" t="n">
        <v>5</v>
      </c>
      <c r="O12" s="29" t="n">
        <v>4</v>
      </c>
      <c r="P12" s="29" t="n">
        <v>5</v>
      </c>
      <c r="Q12" s="29" t="n">
        <v>6</v>
      </c>
      <c r="R12" s="29" t="n">
        <v>6</v>
      </c>
      <c r="S12" s="29" t="n">
        <v>3</v>
      </c>
      <c r="T12" s="29" t="n">
        <v>5</v>
      </c>
      <c r="U12" s="28">
        <f>IF(COUNT(C12:T12)=18,SUM(C12:T12),"")</f>
        <v/>
      </c>
      <c r="V12" s="28" t="n">
        <v>23</v>
      </c>
      <c r="W12" s="28">
        <f>IF(V12="","",MIN(V12,26))</f>
        <v/>
      </c>
      <c r="X12" s="28">
        <f>IF(OR(U12="",W12=""),"",U12-W12)</f>
        <v/>
      </c>
    </row>
    <row r="13" ht="15" customHeight="1" s="22">
      <c r="A13" s="28" t="inlineStr">
        <is>
          <t>Guevara, Franki</t>
        </is>
      </c>
      <c r="B13" s="28" t="inlineStr">
        <is>
          <t>GRIS</t>
        </is>
      </c>
      <c r="C13" s="29" t="n">
        <v>6</v>
      </c>
      <c r="D13" s="29" t="n">
        <v>7</v>
      </c>
      <c r="E13" s="29" t="n">
        <v>5</v>
      </c>
      <c r="F13" s="29" t="n">
        <v>4</v>
      </c>
      <c r="G13" s="29" t="n">
        <v>5</v>
      </c>
      <c r="H13" s="29" t="n">
        <v>5</v>
      </c>
      <c r="I13" s="29" t="n">
        <v>7</v>
      </c>
      <c r="J13" s="29" t="n">
        <v>6</v>
      </c>
      <c r="K13" s="29" t="n">
        <v>6</v>
      </c>
      <c r="L13" s="29" t="n">
        <v>7</v>
      </c>
      <c r="M13" s="29" t="n">
        <v>6</v>
      </c>
      <c r="N13" s="29" t="n">
        <v>5</v>
      </c>
      <c r="O13" s="29" t="n">
        <v>5</v>
      </c>
      <c r="P13" s="29" t="n">
        <v>5</v>
      </c>
      <c r="Q13" s="29" t="n">
        <v>6</v>
      </c>
      <c r="R13" s="29" t="n">
        <v>5</v>
      </c>
      <c r="S13" s="29" t="n">
        <v>4</v>
      </c>
      <c r="T13" s="29" t="n">
        <v>7</v>
      </c>
      <c r="U13" s="28">
        <f>IF(COUNT(C13:T13)=18,SUM(C13:T13),"")</f>
        <v/>
      </c>
      <c r="V13" s="28" t="n">
        <v>23</v>
      </c>
      <c r="W13" s="28">
        <f>IF(V13="","",MIN(V13,26))</f>
        <v/>
      </c>
      <c r="X13" s="28">
        <f>IF(OR(U13="",W13=""),"",U13-W13)</f>
        <v/>
      </c>
    </row>
    <row r="14" ht="15" customHeight="1" s="22">
      <c r="A14" s="28" t="inlineStr">
        <is>
          <t>Dipaola, Martin</t>
        </is>
      </c>
      <c r="B14" s="28" t="inlineStr">
        <is>
          <t>GRIS</t>
        </is>
      </c>
      <c r="C14" s="29" t="n">
        <v>11</v>
      </c>
      <c r="D14" s="29" t="n">
        <v>7</v>
      </c>
      <c r="E14" s="29" t="n">
        <v>5</v>
      </c>
      <c r="F14" s="29" t="n">
        <v>7</v>
      </c>
      <c r="G14" s="29" t="n">
        <v>5</v>
      </c>
      <c r="H14" s="29" t="n">
        <v>8</v>
      </c>
      <c r="I14" s="29" t="n">
        <v>4</v>
      </c>
      <c r="J14" s="29" t="n">
        <v>7</v>
      </c>
      <c r="K14" s="29" t="n">
        <v>5</v>
      </c>
      <c r="L14" s="29" t="n">
        <v>8</v>
      </c>
      <c r="M14" s="29" t="n">
        <v>5</v>
      </c>
      <c r="N14" s="29" t="n">
        <v>6</v>
      </c>
      <c r="O14" s="29" t="n">
        <v>7</v>
      </c>
      <c r="P14" s="29" t="n">
        <v>6</v>
      </c>
      <c r="Q14" s="29" t="n">
        <v>6</v>
      </c>
      <c r="R14" s="29" t="n">
        <v>6</v>
      </c>
      <c r="S14" s="29" t="n">
        <v>4</v>
      </c>
      <c r="T14" s="29" t="n">
        <v>7</v>
      </c>
      <c r="U14" s="28">
        <f>IF(COUNT(C14:T14)=18,SUM(C14:T14),"")</f>
        <v/>
      </c>
      <c r="V14" s="28" t="n">
        <v>30</v>
      </c>
      <c r="W14" s="28">
        <f>IF(V14="","",MIN(V14,26))</f>
        <v/>
      </c>
      <c r="X14" s="28">
        <f>IF(OR(U14="",W14=""),"",U14-W14)</f>
        <v/>
      </c>
    </row>
    <row r="15" ht="15" customHeight="1" s="22">
      <c r="A15" s="28" t="inlineStr">
        <is>
          <t>Gatto, Mariano</t>
        </is>
      </c>
      <c r="B15" s="28" t="inlineStr">
        <is>
          <t>ROJO</t>
        </is>
      </c>
      <c r="C15" s="29" t="n">
        <v>6</v>
      </c>
      <c r="D15" s="29" t="n">
        <v>7</v>
      </c>
      <c r="E15" s="29" t="n">
        <v>4</v>
      </c>
      <c r="F15" s="29" t="n">
        <v>4</v>
      </c>
      <c r="G15" s="29" t="n">
        <v>6</v>
      </c>
      <c r="H15" s="29" t="n">
        <v>4</v>
      </c>
      <c r="I15" s="29" t="n">
        <v>4</v>
      </c>
      <c r="J15" s="29" t="n">
        <v>4</v>
      </c>
      <c r="K15" s="29" t="n">
        <v>4</v>
      </c>
      <c r="L15" s="29" t="n">
        <v>6</v>
      </c>
      <c r="M15" s="29" t="n">
        <v>6</v>
      </c>
      <c r="N15" s="29" t="n">
        <v>3</v>
      </c>
      <c r="O15" s="29" t="n">
        <v>6</v>
      </c>
      <c r="P15" s="29" t="n">
        <v>5</v>
      </c>
      <c r="Q15" s="29" t="n">
        <v>3</v>
      </c>
      <c r="R15" s="29" t="n">
        <v>4</v>
      </c>
      <c r="S15" s="29" t="n">
        <v>3</v>
      </c>
      <c r="T15" s="29" t="n">
        <v>6</v>
      </c>
      <c r="U15" s="28">
        <f>IF(COUNT(C15:T15)=18,SUM(C15:T15),"")</f>
        <v/>
      </c>
      <c r="V15" s="28" t="n">
        <v>7</v>
      </c>
      <c r="W15" s="28">
        <f>IF(V15="","",MIN(V15,26))</f>
        <v/>
      </c>
      <c r="X15" s="28">
        <f>IF(OR(U15="",W15=""),"",U15-W15)</f>
        <v/>
      </c>
    </row>
    <row r="16" ht="15" customHeight="1" s="22">
      <c r="A16" s="28" t="inlineStr">
        <is>
          <t>Elizalde, Juancho</t>
        </is>
      </c>
      <c r="B16" s="28" t="inlineStr">
        <is>
          <t>ROJO</t>
        </is>
      </c>
      <c r="C16" s="29" t="n">
        <v>5</v>
      </c>
      <c r="D16" s="29" t="n">
        <v>5</v>
      </c>
      <c r="E16" s="29" t="n">
        <v>4</v>
      </c>
      <c r="F16" s="29" t="n">
        <v>4</v>
      </c>
      <c r="G16" s="29" t="n">
        <v>5</v>
      </c>
      <c r="H16" s="29" t="n">
        <v>5</v>
      </c>
      <c r="I16" s="29" t="n">
        <v>5</v>
      </c>
      <c r="J16" s="29" t="n">
        <v>6</v>
      </c>
      <c r="K16" s="29" t="n">
        <v>3</v>
      </c>
      <c r="L16" s="29" t="n">
        <v>6</v>
      </c>
      <c r="M16" s="29" t="n">
        <v>5</v>
      </c>
      <c r="N16" s="29" t="n">
        <v>4</v>
      </c>
      <c r="O16" s="29" t="n">
        <v>5</v>
      </c>
      <c r="P16" s="29" t="n">
        <v>4</v>
      </c>
      <c r="Q16" s="29" t="n">
        <v>3</v>
      </c>
      <c r="R16" s="29" t="n">
        <v>4</v>
      </c>
      <c r="S16" s="29" t="n">
        <v>3</v>
      </c>
      <c r="T16" s="29" t="n">
        <v>10</v>
      </c>
      <c r="U16" s="28">
        <f>IF(COUNT(C16:T16)=18,SUM(C16:T16),"")</f>
        <v/>
      </c>
      <c r="V16" s="28" t="n">
        <v>12</v>
      </c>
      <c r="W16" s="28">
        <f>IF(V16="","",MIN(V16,26))</f>
        <v/>
      </c>
      <c r="X16" s="28">
        <f>IF(OR(U16="",W16=""),"",U16-W16)</f>
        <v/>
      </c>
    </row>
    <row r="17" ht="15" customHeight="1" s="22">
      <c r="A17" s="28" t="inlineStr">
        <is>
          <t>Canónico, Agus</t>
        </is>
      </c>
      <c r="B17" s="28" t="inlineStr">
        <is>
          <t>ROJO</t>
        </is>
      </c>
      <c r="C17" s="29" t="n">
        <v>5</v>
      </c>
      <c r="D17" s="29" t="n">
        <v>7</v>
      </c>
      <c r="E17" s="29" t="n">
        <v>4</v>
      </c>
      <c r="F17" s="29" t="n">
        <v>4</v>
      </c>
      <c r="G17" s="29" t="n">
        <v>4</v>
      </c>
      <c r="H17" s="29" t="n">
        <v>5</v>
      </c>
      <c r="I17" s="29" t="n">
        <v>9</v>
      </c>
      <c r="J17" s="29" t="n">
        <v>6</v>
      </c>
      <c r="K17" s="29" t="n">
        <v>7</v>
      </c>
      <c r="L17" s="29" t="n">
        <v>6</v>
      </c>
      <c r="M17" s="29" t="n">
        <v>5</v>
      </c>
      <c r="N17" s="29" t="n">
        <v>5</v>
      </c>
      <c r="O17" s="29" t="n">
        <v>5</v>
      </c>
      <c r="P17" s="29" t="n">
        <v>8</v>
      </c>
      <c r="Q17" s="29" t="n">
        <v>7</v>
      </c>
      <c r="R17" s="29" t="n">
        <v>5</v>
      </c>
      <c r="S17" s="29" t="n">
        <v>4</v>
      </c>
      <c r="T17" s="29" t="n">
        <v>5</v>
      </c>
      <c r="U17" s="28">
        <f>IF(COUNT(C17:T17)=18,SUM(C17:T17),"")</f>
        <v/>
      </c>
      <c r="V17" s="28" t="n">
        <v>18</v>
      </c>
      <c r="W17" s="28">
        <f>IF(V17="","",MIN(V17,26))</f>
        <v/>
      </c>
      <c r="X17" s="28">
        <f>IF(OR(U17="",W17=""),"",U17-W17)</f>
        <v/>
      </c>
    </row>
    <row r="18" ht="15" customHeight="1" s="22">
      <c r="A18" s="28" t="inlineStr">
        <is>
          <t>Vogelius, Nico</t>
        </is>
      </c>
      <c r="B18" s="28" t="inlineStr">
        <is>
          <t>ROJO</t>
        </is>
      </c>
      <c r="C18" s="29" t="n">
        <v>5</v>
      </c>
      <c r="D18" s="29" t="n">
        <v>5</v>
      </c>
      <c r="E18" s="29" t="n">
        <v>5</v>
      </c>
      <c r="F18" s="29" t="n">
        <v>4</v>
      </c>
      <c r="G18" s="29" t="n">
        <v>5</v>
      </c>
      <c r="H18" s="29" t="n">
        <v>6</v>
      </c>
      <c r="I18" s="29" t="n">
        <v>5</v>
      </c>
      <c r="J18" s="29" t="n">
        <v>6</v>
      </c>
      <c r="K18" s="29" t="n">
        <v>4</v>
      </c>
      <c r="L18" s="29" t="n">
        <v>5</v>
      </c>
      <c r="M18" s="29" t="n">
        <v>5</v>
      </c>
      <c r="N18" s="29" t="n">
        <v>5</v>
      </c>
      <c r="O18" s="29" t="n">
        <v>5</v>
      </c>
      <c r="P18" s="29" t="n">
        <v>5</v>
      </c>
      <c r="Q18" s="29" t="n">
        <v>4</v>
      </c>
      <c r="R18" s="29" t="n">
        <v>5</v>
      </c>
      <c r="S18" s="29" t="n">
        <v>5</v>
      </c>
      <c r="T18" s="29" t="n">
        <v>6</v>
      </c>
      <c r="U18" s="28">
        <f>IF(COUNT(C18:T18)=18,SUM(C18:T18),"")</f>
        <v/>
      </c>
      <c r="V18" s="28" t="n">
        <v>14</v>
      </c>
      <c r="W18" s="28">
        <f>IF(V18="","",MIN(V18,26))</f>
        <v/>
      </c>
      <c r="X18" s="28">
        <f>IF(OR(U18="",W18=""),"",U18-W18)</f>
        <v/>
      </c>
    </row>
    <row r="19" ht="15" customHeight="1" s="22">
      <c r="A19" s="28" t="inlineStr">
        <is>
          <t>Mendez, Pato</t>
        </is>
      </c>
      <c r="B19" s="28" t="inlineStr">
        <is>
          <t>ROJO</t>
        </is>
      </c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8">
        <f>IF(COUNT(C19:T19)=18,SUM(C19:T19),"")</f>
        <v/>
      </c>
      <c r="V19" s="28" t="n"/>
      <c r="W19" s="28">
        <f>IF(V19="","",MIN(V19,26))</f>
        <v/>
      </c>
      <c r="X19" s="28">
        <f>IF(OR(U19="",W19=""),"",U19-W19)</f>
        <v/>
      </c>
    </row>
    <row r="20" ht="15" customHeight="1" s="22">
      <c r="A20" s="28" t="inlineStr">
        <is>
          <t>Fernandez, Lucas</t>
        </is>
      </c>
      <c r="B20" s="28" t="inlineStr">
        <is>
          <t>ROJO</t>
        </is>
      </c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8">
        <f>IF(COUNT(C20:T20)=18,SUM(C20:T20),"")</f>
        <v/>
      </c>
      <c r="V20" s="28" t="n"/>
      <c r="W20" s="28">
        <f>IF(V20="","",MIN(V20,26))</f>
        <v/>
      </c>
      <c r="X20" s="28">
        <f>IF(OR(U20="",W20=""),"",U20-W20)</f>
        <v/>
      </c>
    </row>
    <row r="21" ht="15" customHeight="1" s="22">
      <c r="A21" s="28" t="inlineStr">
        <is>
          <t>Diaz Delfino, Pablo</t>
        </is>
      </c>
      <c r="B21" s="28" t="inlineStr">
        <is>
          <t>GRIS</t>
        </is>
      </c>
      <c r="C21" s="29" t="n">
        <v>5</v>
      </c>
      <c r="D21" s="29" t="n">
        <v>6</v>
      </c>
      <c r="E21" s="29" t="n">
        <v>7</v>
      </c>
      <c r="F21" s="29" t="n">
        <v>5</v>
      </c>
      <c r="G21" s="29" t="n">
        <v>7</v>
      </c>
      <c r="H21" s="29" t="n">
        <v>6</v>
      </c>
      <c r="I21" s="29" t="n">
        <v>6</v>
      </c>
      <c r="J21" s="29" t="n">
        <v>6</v>
      </c>
      <c r="K21" s="29" t="n">
        <v>6</v>
      </c>
      <c r="L21" s="29" t="n">
        <v>6</v>
      </c>
      <c r="M21" s="29" t="n">
        <v>4</v>
      </c>
      <c r="N21" s="29" t="n">
        <v>5</v>
      </c>
      <c r="O21" s="29" t="n">
        <v>3</v>
      </c>
      <c r="P21" s="29" t="n">
        <v>4</v>
      </c>
      <c r="Q21" s="29" t="n">
        <v>4</v>
      </c>
      <c r="R21" s="29" t="n">
        <v>4</v>
      </c>
      <c r="S21" s="29" t="n">
        <v>3</v>
      </c>
      <c r="T21" s="29" t="n">
        <v>4</v>
      </c>
      <c r="U21" s="28">
        <f>IF(COUNT(C21:T21)=18,SUM(C21:T21),"")</f>
        <v/>
      </c>
      <c r="V21" s="28" t="n">
        <v>10</v>
      </c>
      <c r="W21" s="28">
        <f>IF(V21="","",MIN(V21,26))</f>
        <v/>
      </c>
      <c r="X21" s="28">
        <f>IF(OR(U21="",W21=""),"",U21-W21)</f>
        <v/>
      </c>
    </row>
    <row r="22" ht="15" customHeight="1" s="22">
      <c r="A22" s="28" t="inlineStr">
        <is>
          <t>Alfonso, Juan Ignacio</t>
        </is>
      </c>
      <c r="B22" s="28" t="inlineStr">
        <is>
          <t>ROJO</t>
        </is>
      </c>
      <c r="C22" s="29" t="n">
        <v>7</v>
      </c>
      <c r="D22" s="29" t="n">
        <v>6</v>
      </c>
      <c r="E22" s="29" t="n">
        <v>8</v>
      </c>
      <c r="F22" s="29" t="n">
        <v>3</v>
      </c>
      <c r="G22" s="29" t="n">
        <v>7</v>
      </c>
      <c r="H22" s="29" t="n">
        <v>6</v>
      </c>
      <c r="I22" s="29" t="n">
        <v>6</v>
      </c>
      <c r="J22" s="29" t="n">
        <v>5</v>
      </c>
      <c r="K22" s="29" t="n">
        <v>5</v>
      </c>
      <c r="L22" s="29" t="n">
        <v>9</v>
      </c>
      <c r="M22" s="29" t="n">
        <v>5</v>
      </c>
      <c r="N22" s="29" t="n">
        <v>5</v>
      </c>
      <c r="O22" s="29" t="n">
        <v>4</v>
      </c>
      <c r="P22" s="29" t="n">
        <v>8</v>
      </c>
      <c r="Q22" s="29" t="n">
        <v>7</v>
      </c>
      <c r="R22" s="29" t="n">
        <v>5</v>
      </c>
      <c r="S22" s="29" t="n">
        <v>3</v>
      </c>
      <c r="T22" s="29" t="n">
        <v>6</v>
      </c>
      <c r="U22" s="28">
        <f>IF(COUNT(C22:T22)=18,SUM(C22:T22),"")</f>
        <v/>
      </c>
      <c r="V22" s="28" t="n">
        <v>23</v>
      </c>
      <c r="W22" s="28">
        <f>IF(V22="","",MIN(V22,26))</f>
        <v/>
      </c>
      <c r="X22" s="28">
        <f>IF(OR(U22="",W22=""),"",U22-W22)</f>
        <v/>
      </c>
    </row>
    <row r="23" ht="15" customHeight="1" s="22">
      <c r="A23" s="28" t="inlineStr">
        <is>
          <t>Gascon, Alejo</t>
        </is>
      </c>
      <c r="B23" s="28" t="inlineStr">
        <is>
          <t>ROJO</t>
        </is>
      </c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29" t="n"/>
      <c r="U23" s="28">
        <f>IF(COUNT(C23:T23)=18,SUM(C23:T23),"")</f>
        <v/>
      </c>
      <c r="V23" s="28" t="n"/>
      <c r="W23" s="28">
        <f>IF(V23="","",MIN(V23,26))</f>
        <v/>
      </c>
      <c r="X23" s="28">
        <f>IF(OR(U23="",W23=""),"",U23-W23)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X23"/>
  <sheetViews>
    <sheetView workbookViewId="0">
      <selection activeCell="A1" sqref="A1"/>
    </sheetView>
  </sheetViews>
  <sheetFormatPr baseColWidth="8" defaultColWidth="8.6796875" defaultRowHeight="15" customHeight="0" zeroHeight="0" outlineLevelRow="0"/>
  <cols>
    <col width="22" customWidth="1" style="21" min="1" max="1"/>
    <col width="8" customWidth="1" style="21" min="2" max="2"/>
    <col width="5" customWidth="1" style="21" min="3" max="3"/>
    <col width="8" customWidth="1" style="21" min="21" max="21"/>
    <col width="9" customWidth="1" style="21" min="22" max="22"/>
    <col width="10" customWidth="1" style="21" min="23" max="23"/>
    <col width="7" customWidth="1" style="21" min="24" max="24"/>
  </cols>
  <sheetData>
    <row r="1" ht="17.35" customHeight="1" s="22">
      <c r="A1" s="23" t="inlineStr">
        <is>
          <t>FECHA 6 — 08 Ago 2026 — CUBA Fátima</t>
        </is>
      </c>
    </row>
    <row r="2" ht="15" customHeight="1" s="22">
      <c r="A2" s="24" t="inlineStr">
        <is>
          <t>Par 72 | Individual 1v1 | Organizadores: Guevara + Vogelius</t>
        </is>
      </c>
    </row>
    <row r="5" ht="15" customHeight="1" s="22">
      <c r="A5" s="21" t="inlineStr">
        <is>
          <t>HCP</t>
        </is>
      </c>
      <c r="B5" s="21" t="inlineStr">
        <is>
          <t>cancha</t>
        </is>
      </c>
      <c r="C5" s="25" t="n">
        <v>5</v>
      </c>
      <c r="D5" s="25" t="n">
        <v>15</v>
      </c>
      <c r="E5" s="25" t="n">
        <v>1</v>
      </c>
      <c r="F5" s="25" t="n">
        <v>7</v>
      </c>
      <c r="G5" s="25" t="n">
        <v>11</v>
      </c>
      <c r="H5" s="25" t="n">
        <v>3</v>
      </c>
      <c r="I5" s="25" t="n">
        <v>17</v>
      </c>
      <c r="J5" s="25" t="n">
        <v>13</v>
      </c>
      <c r="K5" s="25" t="n">
        <v>9</v>
      </c>
      <c r="L5" s="25" t="n">
        <v>14</v>
      </c>
      <c r="M5" s="25" t="n">
        <v>10</v>
      </c>
      <c r="N5" s="25" t="n">
        <v>2</v>
      </c>
      <c r="O5" s="25" t="n">
        <v>6</v>
      </c>
      <c r="P5" s="25" t="n">
        <v>16</v>
      </c>
      <c r="Q5" s="25" t="n">
        <v>4</v>
      </c>
      <c r="R5" s="25" t="n">
        <v>12</v>
      </c>
      <c r="S5" s="25" t="n">
        <v>18</v>
      </c>
      <c r="T5" s="25" t="n">
        <v>8</v>
      </c>
    </row>
    <row r="6" ht="15" customHeight="1" s="22">
      <c r="A6" s="21" t="inlineStr">
        <is>
          <t>PAR</t>
        </is>
      </c>
      <c r="C6" s="26" t="n">
        <v>5</v>
      </c>
      <c r="D6" s="26" t="n">
        <v>3</v>
      </c>
      <c r="E6" s="26" t="n">
        <v>4</v>
      </c>
      <c r="F6" s="26" t="n">
        <v>5</v>
      </c>
      <c r="G6" s="26" t="n">
        <v>4</v>
      </c>
      <c r="H6" s="26" t="n">
        <v>4</v>
      </c>
      <c r="I6" s="26" t="n">
        <v>3</v>
      </c>
      <c r="J6" s="26" t="n">
        <v>4</v>
      </c>
      <c r="K6" s="26" t="n">
        <v>4</v>
      </c>
      <c r="L6" s="26" t="n">
        <v>4</v>
      </c>
      <c r="M6" s="26" t="n">
        <v>5</v>
      </c>
      <c r="N6" s="26" t="n">
        <v>4</v>
      </c>
      <c r="O6" s="26" t="n">
        <v>4</v>
      </c>
      <c r="P6" s="26" t="n">
        <v>3</v>
      </c>
      <c r="Q6" s="26" t="n">
        <v>4</v>
      </c>
      <c r="R6" s="26" t="n">
        <v>4</v>
      </c>
      <c r="S6" s="26" t="n">
        <v>3</v>
      </c>
      <c r="T6" s="26" t="n">
        <v>5</v>
      </c>
    </row>
    <row r="7" ht="15" customHeight="1" s="22">
      <c r="A7" s="27" t="inlineStr">
        <is>
          <t>Jugador</t>
        </is>
      </c>
      <c r="B7" s="27" t="inlineStr">
        <is>
          <t>Equipo</t>
        </is>
      </c>
      <c r="C7" s="27" t="inlineStr">
        <is>
          <t>H1</t>
        </is>
      </c>
      <c r="D7" s="27" t="inlineStr">
        <is>
          <t>H2</t>
        </is>
      </c>
      <c r="E7" s="27" t="inlineStr">
        <is>
          <t>H3</t>
        </is>
      </c>
      <c r="F7" s="27" t="inlineStr">
        <is>
          <t>H4</t>
        </is>
      </c>
      <c r="G7" s="27" t="inlineStr">
        <is>
          <t>H5</t>
        </is>
      </c>
      <c r="H7" s="27" t="inlineStr">
        <is>
          <t>H6</t>
        </is>
      </c>
      <c r="I7" s="27" t="inlineStr">
        <is>
          <t>H7</t>
        </is>
      </c>
      <c r="J7" s="27" t="inlineStr">
        <is>
          <t>H8</t>
        </is>
      </c>
      <c r="K7" s="27" t="inlineStr">
        <is>
          <t>H9</t>
        </is>
      </c>
      <c r="L7" s="27" t="inlineStr">
        <is>
          <t>H10</t>
        </is>
      </c>
      <c r="M7" s="27" t="inlineStr">
        <is>
          <t>H11</t>
        </is>
      </c>
      <c r="N7" s="27" t="inlineStr">
        <is>
          <t>H12</t>
        </is>
      </c>
      <c r="O7" s="27" t="inlineStr">
        <is>
          <t>H13</t>
        </is>
      </c>
      <c r="P7" s="27" t="inlineStr">
        <is>
          <t>H14</t>
        </is>
      </c>
      <c r="Q7" s="27" t="inlineStr">
        <is>
          <t>H15</t>
        </is>
      </c>
      <c r="R7" s="27" t="inlineStr">
        <is>
          <t>H16</t>
        </is>
      </c>
      <c r="S7" s="27" t="inlineStr">
        <is>
          <t>H17</t>
        </is>
      </c>
      <c r="T7" s="27" t="inlineStr">
        <is>
          <t>H18</t>
        </is>
      </c>
      <c r="U7" s="27" t="inlineStr">
        <is>
          <t>Gross</t>
        </is>
      </c>
      <c r="V7" s="27" t="inlineStr">
        <is>
          <t>Hdcp día</t>
        </is>
      </c>
      <c r="W7" s="27" t="inlineStr">
        <is>
          <t>Hdcp aplic</t>
        </is>
      </c>
      <c r="X7" s="27" t="inlineStr">
        <is>
          <t>Neto</t>
        </is>
      </c>
    </row>
    <row r="8" ht="15" customHeight="1" s="22">
      <c r="A8" s="28" t="inlineStr">
        <is>
          <t>Gonzalez, Agus</t>
        </is>
      </c>
      <c r="B8" s="28" t="inlineStr">
        <is>
          <t>GRIS</t>
        </is>
      </c>
      <c r="C8" s="29" t="n">
        <v>5</v>
      </c>
      <c r="D8" s="29" t="n">
        <v>3</v>
      </c>
      <c r="E8" s="29" t="n">
        <v>5</v>
      </c>
      <c r="F8" s="29" t="n">
        <v>5</v>
      </c>
      <c r="G8" s="29" t="n">
        <v>5</v>
      </c>
      <c r="H8" s="29" t="n">
        <v>5</v>
      </c>
      <c r="I8" s="29" t="n">
        <v>4</v>
      </c>
      <c r="J8" s="29" t="n">
        <v>4</v>
      </c>
      <c r="K8" s="29" t="n">
        <v>5</v>
      </c>
      <c r="L8" s="29" t="n">
        <v>5</v>
      </c>
      <c r="M8" s="29" t="n">
        <v>6</v>
      </c>
      <c r="N8" s="29" t="n">
        <v>5</v>
      </c>
      <c r="O8" s="29" t="n">
        <v>4</v>
      </c>
      <c r="P8" s="29" t="n">
        <v>3</v>
      </c>
      <c r="Q8" s="29" t="n">
        <v>4</v>
      </c>
      <c r="R8" s="29" t="n">
        <v>6</v>
      </c>
      <c r="S8" s="29" t="n">
        <v>4</v>
      </c>
      <c r="T8" s="29" t="n">
        <v>5</v>
      </c>
      <c r="U8" s="28">
        <f>IF(COUNT(C8:T8)=18,SUM(C8:T8),"")</f>
        <v/>
      </c>
      <c r="V8" s="28" t="n">
        <v>7</v>
      </c>
      <c r="W8" s="28">
        <f>IF(V8="","",MIN(V8,26))</f>
        <v/>
      </c>
      <c r="X8" s="28">
        <f>IF(OR(U8="",W8=""),"",U8-W8)</f>
        <v/>
      </c>
    </row>
    <row r="9" ht="15" customHeight="1" s="22">
      <c r="A9" s="28" t="inlineStr">
        <is>
          <t>Tarasido, Gonzalo</t>
        </is>
      </c>
      <c r="B9" s="28" t="inlineStr">
        <is>
          <t>GRIS</t>
        </is>
      </c>
      <c r="C9" s="29" t="n">
        <v>6</v>
      </c>
      <c r="D9" s="29" t="n">
        <v>3</v>
      </c>
      <c r="E9" s="29" t="n">
        <v>6</v>
      </c>
      <c r="F9" s="29" t="n">
        <v>6</v>
      </c>
      <c r="G9" s="29" t="n">
        <v>5</v>
      </c>
      <c r="H9" s="29" t="n">
        <v>3</v>
      </c>
      <c r="I9" s="29" t="n">
        <v>4</v>
      </c>
      <c r="J9" s="29" t="n">
        <v>5</v>
      </c>
      <c r="K9" s="29" t="n">
        <v>5</v>
      </c>
      <c r="L9" s="29" t="n">
        <v>4</v>
      </c>
      <c r="M9" s="29" t="n">
        <v>7</v>
      </c>
      <c r="N9" s="29" t="n">
        <v>7</v>
      </c>
      <c r="O9" s="29" t="n">
        <v>5</v>
      </c>
      <c r="P9" s="29" t="n">
        <v>4</v>
      </c>
      <c r="Q9" s="29" t="n">
        <v>5</v>
      </c>
      <c r="R9" s="29" t="n">
        <v>4</v>
      </c>
      <c r="S9" s="29" t="n">
        <v>4</v>
      </c>
      <c r="T9" s="29" t="n">
        <v>6</v>
      </c>
      <c r="U9" s="28">
        <f>IF(COUNT(C9:T9)=18,SUM(C9:T9),"")</f>
        <v/>
      </c>
      <c r="V9" s="28" t="n">
        <v>12</v>
      </c>
      <c r="W9" s="28">
        <f>IF(V9="","",MIN(V9,26))</f>
        <v/>
      </c>
      <c r="X9" s="28">
        <f>IF(OR(U9="",W9=""),"",U9-W9)</f>
        <v/>
      </c>
    </row>
    <row r="10" ht="15" customHeight="1" s="22">
      <c r="A10" s="28" t="inlineStr">
        <is>
          <t>Zunino, Javi</t>
        </is>
      </c>
      <c r="B10" s="28" t="inlineStr">
        <is>
          <t>GRIS</t>
        </is>
      </c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8">
        <f>IF(COUNT(C10:T10)=18,SUM(C10:T10),"")</f>
        <v/>
      </c>
      <c r="V10" s="28" t="n"/>
      <c r="W10" s="28">
        <f>IF(V10="","",MIN(V10,26))</f>
        <v/>
      </c>
      <c r="X10" s="28">
        <f>IF(OR(U10="",W10=""),"",U10-W10)</f>
        <v/>
      </c>
    </row>
    <row r="11" ht="15" customHeight="1" s="22">
      <c r="A11" s="28" t="inlineStr">
        <is>
          <t>Basaldua, Ignacio</t>
        </is>
      </c>
      <c r="B11" s="28" t="inlineStr">
        <is>
          <t>GRIS</t>
        </is>
      </c>
      <c r="C11" s="29" t="n">
        <v>8</v>
      </c>
      <c r="D11" s="29" t="n">
        <v>3</v>
      </c>
      <c r="E11" s="29" t="n">
        <v>9</v>
      </c>
      <c r="F11" s="29" t="n">
        <v>5</v>
      </c>
      <c r="G11" s="29" t="n">
        <v>7</v>
      </c>
      <c r="H11" s="29" t="n">
        <v>5</v>
      </c>
      <c r="I11" s="29" t="n">
        <v>4</v>
      </c>
      <c r="J11" s="29" t="n">
        <v>6</v>
      </c>
      <c r="K11" s="29" t="n">
        <v>4</v>
      </c>
      <c r="L11" s="29" t="n">
        <v>6</v>
      </c>
      <c r="M11" s="29" t="n">
        <v>5</v>
      </c>
      <c r="N11" s="29" t="n">
        <v>5</v>
      </c>
      <c r="O11" s="29" t="n">
        <v>4</v>
      </c>
      <c r="P11" s="29" t="n">
        <v>4</v>
      </c>
      <c r="Q11" s="29" t="n">
        <v>7</v>
      </c>
      <c r="R11" s="29" t="n">
        <v>6</v>
      </c>
      <c r="S11" s="29" t="n">
        <v>5</v>
      </c>
      <c r="T11" s="29" t="n">
        <v>6</v>
      </c>
      <c r="U11" s="28">
        <f>IF(COUNT(C11:T11)=18,SUM(C11:T11),"")</f>
        <v/>
      </c>
      <c r="V11" s="28" t="n">
        <v>17</v>
      </c>
      <c r="W11" s="28">
        <f>IF(V11="","",MIN(V11,26))</f>
        <v/>
      </c>
      <c r="X11" s="28">
        <f>IF(OR(U11="",W11=""),"",U11-W11)</f>
        <v/>
      </c>
    </row>
    <row r="12" ht="15" customHeight="1" s="22">
      <c r="A12" s="28" t="inlineStr">
        <is>
          <t>Pannullo, Tincho</t>
        </is>
      </c>
      <c r="B12" s="28" t="inlineStr">
        <is>
          <t>GRIS</t>
        </is>
      </c>
      <c r="C12" s="29" t="n">
        <v>6</v>
      </c>
      <c r="D12" s="29" t="n">
        <v>3</v>
      </c>
      <c r="E12" s="29" t="n">
        <v>5</v>
      </c>
      <c r="F12" s="29" t="n">
        <v>7</v>
      </c>
      <c r="G12" s="29" t="n">
        <v>4</v>
      </c>
      <c r="H12" s="29" t="n">
        <v>4</v>
      </c>
      <c r="I12" s="29" t="n">
        <v>4</v>
      </c>
      <c r="J12" s="29" t="n">
        <v>5</v>
      </c>
      <c r="K12" s="29" t="n">
        <v>5</v>
      </c>
      <c r="L12" s="29" t="n">
        <v>6</v>
      </c>
      <c r="M12" s="29" t="n">
        <v>11</v>
      </c>
      <c r="N12" s="29" t="n">
        <v>5</v>
      </c>
      <c r="O12" s="29" t="n">
        <v>5</v>
      </c>
      <c r="P12" s="29" t="n">
        <v>3</v>
      </c>
      <c r="Q12" s="29" t="n">
        <v>5</v>
      </c>
      <c r="R12" s="29" t="n">
        <v>7</v>
      </c>
      <c r="S12" s="29" t="n">
        <v>4</v>
      </c>
      <c r="T12" s="29" t="n">
        <v>7</v>
      </c>
      <c r="U12" s="28">
        <f>IF(COUNT(C12:T12)=18,SUM(C12:T12),"")</f>
        <v/>
      </c>
      <c r="V12" s="28" t="n">
        <v>17</v>
      </c>
      <c r="W12" s="28">
        <f>IF(V12="","",MIN(V12,26))</f>
        <v/>
      </c>
      <c r="X12" s="28">
        <f>IF(OR(U12="",W12=""),"",U12-W12)</f>
        <v/>
      </c>
    </row>
    <row r="13" ht="15" customHeight="1" s="22">
      <c r="A13" s="28" t="inlineStr">
        <is>
          <t>Benegas, Pancho</t>
        </is>
      </c>
      <c r="B13" s="28" t="inlineStr">
        <is>
          <t>GRIS</t>
        </is>
      </c>
      <c r="C13" s="29" t="n">
        <v>7</v>
      </c>
      <c r="D13" s="29" t="n">
        <v>3</v>
      </c>
      <c r="E13" s="29" t="n">
        <v>8</v>
      </c>
      <c r="F13" s="29" t="n">
        <v>7</v>
      </c>
      <c r="G13" s="29" t="n">
        <v>4</v>
      </c>
      <c r="H13" s="29" t="n">
        <v>4</v>
      </c>
      <c r="I13" s="29" t="n">
        <v>2</v>
      </c>
      <c r="J13" s="29" t="n">
        <v>4</v>
      </c>
      <c r="K13" s="29" t="n">
        <v>5</v>
      </c>
      <c r="L13" s="29" t="n">
        <v>4</v>
      </c>
      <c r="M13" s="29" t="n">
        <v>7</v>
      </c>
      <c r="N13" s="29" t="n">
        <v>5</v>
      </c>
      <c r="O13" s="29" t="n">
        <v>7</v>
      </c>
      <c r="P13" s="29" t="n">
        <v>6</v>
      </c>
      <c r="Q13" s="29" t="n">
        <v>4</v>
      </c>
      <c r="R13" s="29" t="n">
        <v>5</v>
      </c>
      <c r="S13" s="29" t="n">
        <v>4</v>
      </c>
      <c r="T13" s="29" t="n">
        <v>6</v>
      </c>
      <c r="U13" s="28">
        <f>IF(COUNT(C13:T13)=18,SUM(C13:T13),"")</f>
        <v/>
      </c>
      <c r="V13" s="28" t="n">
        <v>23</v>
      </c>
      <c r="W13" s="28">
        <f>IF(V13="","",MIN(V13,26))</f>
        <v/>
      </c>
      <c r="X13" s="28">
        <f>IF(OR(U13="",W13=""),"",U13-W13)</f>
        <v/>
      </c>
    </row>
    <row r="14" ht="15" customHeight="1" s="22">
      <c r="A14" s="28" t="inlineStr">
        <is>
          <t>Guevara, Franki</t>
        </is>
      </c>
      <c r="B14" s="28" t="inlineStr">
        <is>
          <t>GRIS</t>
        </is>
      </c>
      <c r="C14" s="29" t="n">
        <v>8</v>
      </c>
      <c r="D14" s="29" t="n">
        <v>3</v>
      </c>
      <c r="E14" s="29" t="n">
        <v>6</v>
      </c>
      <c r="F14" s="29" t="n">
        <v>7</v>
      </c>
      <c r="G14" s="29" t="n">
        <v>6</v>
      </c>
      <c r="H14" s="29" t="n">
        <v>5</v>
      </c>
      <c r="I14" s="29" t="n">
        <v>3</v>
      </c>
      <c r="J14" s="29" t="n">
        <v>6</v>
      </c>
      <c r="K14" s="29" t="n">
        <v>6</v>
      </c>
      <c r="L14" s="29" t="n">
        <v>6</v>
      </c>
      <c r="M14" s="29" t="n">
        <v>5</v>
      </c>
      <c r="N14" s="29" t="n">
        <v>5</v>
      </c>
      <c r="O14" s="29" t="n">
        <v>4</v>
      </c>
      <c r="P14" s="29" t="n">
        <v>4</v>
      </c>
      <c r="Q14" s="29" t="n">
        <v>6</v>
      </c>
      <c r="R14" s="29" t="n">
        <v>5</v>
      </c>
      <c r="S14" s="29" t="n">
        <v>4</v>
      </c>
      <c r="T14" s="29" t="n">
        <v>7</v>
      </c>
      <c r="U14" s="28">
        <f>IF(COUNT(C14:T14)=18,SUM(C14:T14),"")</f>
        <v/>
      </c>
      <c r="V14" s="28" t="n">
        <v>20</v>
      </c>
      <c r="W14" s="28">
        <f>IF(V14="","",MIN(V14,26))</f>
        <v/>
      </c>
      <c r="X14" s="28">
        <f>IF(OR(U14="",W14=""),"",U14-W14)</f>
        <v/>
      </c>
    </row>
    <row r="15" ht="15" customHeight="1" s="22">
      <c r="A15" s="28" t="inlineStr">
        <is>
          <t>Dipaola, Martin</t>
        </is>
      </c>
      <c r="B15" s="28" t="inlineStr">
        <is>
          <t>GRIS</t>
        </is>
      </c>
      <c r="C15" s="29" t="n">
        <v>8</v>
      </c>
      <c r="D15" s="29" t="n">
        <v>3</v>
      </c>
      <c r="E15" s="29" t="n">
        <v>10</v>
      </c>
      <c r="F15" s="29" t="n">
        <v>6</v>
      </c>
      <c r="G15" s="29" t="n">
        <v>5</v>
      </c>
      <c r="H15" s="29" t="n">
        <v>8</v>
      </c>
      <c r="I15" s="29" t="n">
        <v>5</v>
      </c>
      <c r="J15" s="29" t="n">
        <v>6</v>
      </c>
      <c r="K15" s="29" t="n">
        <v>6</v>
      </c>
      <c r="L15" s="29" t="n">
        <v>4</v>
      </c>
      <c r="M15" s="29" t="n">
        <v>10</v>
      </c>
      <c r="N15" s="29" t="n">
        <v>5</v>
      </c>
      <c r="O15" s="29" t="n">
        <v>9</v>
      </c>
      <c r="P15" s="29" t="n">
        <v>5</v>
      </c>
      <c r="Q15" s="29" t="n">
        <v>6</v>
      </c>
      <c r="R15" s="29" t="n">
        <v>4</v>
      </c>
      <c r="S15" s="29" t="n">
        <v>3</v>
      </c>
      <c r="T15" s="29" t="n">
        <v>6</v>
      </c>
      <c r="U15" s="28">
        <f>IF(COUNT(C15:T15)=18,SUM(C15:T15),"")</f>
        <v/>
      </c>
      <c r="V15" s="28" t="n">
        <v>26</v>
      </c>
      <c r="W15" s="28">
        <f>IF(V15="","",MIN(V15,26))</f>
        <v/>
      </c>
      <c r="X15" s="28">
        <f>IF(OR(U15="",W15=""),"",U15-W15)</f>
        <v/>
      </c>
    </row>
    <row r="16" ht="15" customHeight="1" s="22">
      <c r="A16" s="28" t="inlineStr">
        <is>
          <t>Gatto, Mariano</t>
        </is>
      </c>
      <c r="B16" s="28" t="inlineStr">
        <is>
          <t>ROJO</t>
        </is>
      </c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T16" s="29" t="n"/>
      <c r="U16" s="28">
        <f>IF(COUNT(C16:T16)=18,SUM(C16:T16),"")</f>
        <v/>
      </c>
      <c r="V16" s="28" t="n"/>
      <c r="W16" s="28">
        <f>IF(V16="","",MIN(V16,26))</f>
        <v/>
      </c>
      <c r="X16" s="28">
        <f>IF(OR(U16="",W16=""),"",U16-W16)</f>
        <v/>
      </c>
    </row>
    <row r="17" ht="15" customHeight="1" s="22">
      <c r="A17" s="28" t="inlineStr">
        <is>
          <t>Elizalde, Juancho</t>
        </is>
      </c>
      <c r="B17" s="28" t="inlineStr">
        <is>
          <t>ROJO</t>
        </is>
      </c>
      <c r="C17" s="29" t="n">
        <v>7</v>
      </c>
      <c r="D17" s="29" t="n">
        <v>3</v>
      </c>
      <c r="E17" s="29" t="n">
        <v>4</v>
      </c>
      <c r="F17" s="29" t="n">
        <v>6</v>
      </c>
      <c r="G17" s="29" t="n">
        <v>5</v>
      </c>
      <c r="H17" s="29" t="n">
        <v>4</v>
      </c>
      <c r="I17" s="29" t="n">
        <v>5</v>
      </c>
      <c r="J17" s="29" t="n">
        <v>4</v>
      </c>
      <c r="K17" s="29" t="n">
        <v>5</v>
      </c>
      <c r="L17" s="29" t="n">
        <v>5</v>
      </c>
      <c r="M17" s="29" t="n">
        <v>6</v>
      </c>
      <c r="N17" s="29" t="n">
        <v>5</v>
      </c>
      <c r="O17" s="29" t="n">
        <v>5</v>
      </c>
      <c r="P17" s="29" t="n">
        <v>4</v>
      </c>
      <c r="Q17" s="29" t="n">
        <v>6</v>
      </c>
      <c r="R17" s="29" t="n">
        <v>6</v>
      </c>
      <c r="S17" s="29" t="n">
        <v>4</v>
      </c>
      <c r="T17" s="29" t="n">
        <v>5</v>
      </c>
      <c r="U17" s="28">
        <f>IF(COUNT(C17:T17)=18,SUM(C17:T17),"")</f>
        <v/>
      </c>
      <c r="V17" s="28" t="n">
        <v>14</v>
      </c>
      <c r="W17" s="28">
        <f>IF(V17="","",MIN(V17,26))</f>
        <v/>
      </c>
      <c r="X17" s="28">
        <f>IF(OR(U17="",W17=""),"",U17-W17)</f>
        <v/>
      </c>
    </row>
    <row r="18" ht="15" customHeight="1" s="22">
      <c r="A18" s="28" t="inlineStr">
        <is>
          <t>Canónico, Agus</t>
        </is>
      </c>
      <c r="B18" s="28" t="inlineStr">
        <is>
          <t>ROJO</t>
        </is>
      </c>
      <c r="C18" s="29" t="n">
        <v>6</v>
      </c>
      <c r="D18" s="29" t="n">
        <v>3</v>
      </c>
      <c r="E18" s="29" t="n">
        <v>6</v>
      </c>
      <c r="F18" s="29" t="n">
        <v>7</v>
      </c>
      <c r="G18" s="29" t="n">
        <v>5</v>
      </c>
      <c r="H18" s="29" t="n">
        <v>5</v>
      </c>
      <c r="I18" s="29" t="n">
        <v>4</v>
      </c>
      <c r="J18" s="29" t="n">
        <v>5</v>
      </c>
      <c r="K18" s="29" t="n">
        <v>5</v>
      </c>
      <c r="L18" s="29" t="n">
        <v>6</v>
      </c>
      <c r="M18" s="29" t="n">
        <v>6</v>
      </c>
      <c r="N18" s="29" t="n">
        <v>6</v>
      </c>
      <c r="O18" s="29" t="n">
        <v>5</v>
      </c>
      <c r="P18" s="29" t="n">
        <v>4</v>
      </c>
      <c r="Q18" s="29" t="n">
        <v>5</v>
      </c>
      <c r="R18" s="29" t="n">
        <v>7</v>
      </c>
      <c r="S18" s="29" t="n">
        <v>5</v>
      </c>
      <c r="T18" s="29" t="n">
        <v>5</v>
      </c>
      <c r="U18" s="28">
        <f>IF(COUNT(C18:T18)=18,SUM(C18:T18),"")</f>
        <v/>
      </c>
      <c r="V18" s="28" t="n">
        <v>16</v>
      </c>
      <c r="W18" s="28">
        <f>IF(V18="","",MIN(V18,26))</f>
        <v/>
      </c>
      <c r="X18" s="28">
        <f>IF(OR(U18="",W18=""),"",U18-W18)</f>
        <v/>
      </c>
    </row>
    <row r="19" ht="15" customHeight="1" s="22">
      <c r="A19" s="28" t="inlineStr">
        <is>
          <t>Vogelius, Nico</t>
        </is>
      </c>
      <c r="B19" s="28" t="inlineStr">
        <is>
          <t>ROJO</t>
        </is>
      </c>
      <c r="C19" s="29" t="n">
        <v>7</v>
      </c>
      <c r="D19" s="29" t="n">
        <v>4</v>
      </c>
      <c r="E19" s="29" t="n">
        <v>7</v>
      </c>
      <c r="F19" s="29" t="n">
        <v>6</v>
      </c>
      <c r="G19" s="29" t="n">
        <v>5</v>
      </c>
      <c r="H19" s="29" t="n">
        <v>7</v>
      </c>
      <c r="I19" s="29" t="n">
        <v>5</v>
      </c>
      <c r="J19" s="29" t="n">
        <v>5</v>
      </c>
      <c r="K19" s="29" t="n">
        <v>5</v>
      </c>
      <c r="L19" s="29" t="n">
        <v>5</v>
      </c>
      <c r="M19" s="29" t="n">
        <v>6</v>
      </c>
      <c r="N19" s="29" t="n">
        <v>5</v>
      </c>
      <c r="O19" s="29" t="n">
        <v>3</v>
      </c>
      <c r="P19" s="29" t="n">
        <v>3</v>
      </c>
      <c r="Q19" s="29" t="n">
        <v>5</v>
      </c>
      <c r="R19" s="29" t="n">
        <v>5</v>
      </c>
      <c r="S19" s="29" t="n">
        <v>4</v>
      </c>
      <c r="T19" s="29" t="n">
        <v>6</v>
      </c>
      <c r="U19" s="28">
        <f>IF(COUNT(C19:T19)=18,SUM(C19:T19),"")</f>
        <v/>
      </c>
      <c r="V19" s="28" t="n">
        <v>15</v>
      </c>
      <c r="W19" s="28">
        <f>IF(V19="","",MIN(V19,26))</f>
        <v/>
      </c>
      <c r="X19" s="28">
        <f>IF(OR(U19="",W19=""),"",U19-W19)</f>
        <v/>
      </c>
    </row>
    <row r="20" ht="15" customHeight="1" s="22">
      <c r="A20" s="28" t="inlineStr">
        <is>
          <t>Mendez, Pato</t>
        </is>
      </c>
      <c r="B20" s="28" t="inlineStr">
        <is>
          <t>ROJO</t>
        </is>
      </c>
      <c r="C20" s="29" t="n">
        <v>8</v>
      </c>
      <c r="D20" s="29" t="n">
        <v>4</v>
      </c>
      <c r="E20" s="29" t="n">
        <v>6</v>
      </c>
      <c r="F20" s="29" t="n">
        <v>5</v>
      </c>
      <c r="G20" s="29" t="n">
        <v>4</v>
      </c>
      <c r="H20" s="29" t="n">
        <v>5</v>
      </c>
      <c r="I20" s="29" t="n">
        <v>3</v>
      </c>
      <c r="J20" s="29" t="n">
        <v>6</v>
      </c>
      <c r="K20" s="29" t="n">
        <v>5</v>
      </c>
      <c r="L20" s="29" t="n">
        <v>5</v>
      </c>
      <c r="M20" s="29" t="n">
        <v>6</v>
      </c>
      <c r="N20" s="29" t="n">
        <v>5</v>
      </c>
      <c r="O20" s="29" t="n">
        <v>6</v>
      </c>
      <c r="P20" s="29" t="n">
        <v>4</v>
      </c>
      <c r="Q20" s="29" t="n">
        <v>6</v>
      </c>
      <c r="R20" s="29" t="n">
        <v>5</v>
      </c>
      <c r="S20" s="29" t="n">
        <v>4</v>
      </c>
      <c r="T20" s="29" t="n">
        <v>5</v>
      </c>
      <c r="U20" s="28">
        <f>IF(COUNT(C20:T20)=18,SUM(C20:T20),"")</f>
        <v/>
      </c>
      <c r="V20" s="28" t="n">
        <v>16</v>
      </c>
      <c r="W20" s="28">
        <f>IF(V20="","",MIN(V20,26))</f>
        <v/>
      </c>
      <c r="X20" s="28">
        <f>IF(OR(U20="",W20=""),"",U20-W20)</f>
        <v/>
      </c>
    </row>
    <row r="21" ht="15" customHeight="1" s="22">
      <c r="A21" s="28" t="inlineStr">
        <is>
          <t>Molinario, Andy</t>
        </is>
      </c>
      <c r="B21" s="28" t="inlineStr">
        <is>
          <t>ROJO</t>
        </is>
      </c>
      <c r="C21" s="29" t="n">
        <v>5</v>
      </c>
      <c r="D21" s="29" t="n">
        <v>3</v>
      </c>
      <c r="E21" s="29" t="n">
        <v>6</v>
      </c>
      <c r="F21" s="29" t="n">
        <v>9</v>
      </c>
      <c r="G21" s="29" t="n">
        <v>5</v>
      </c>
      <c r="H21" s="29" t="n">
        <v>5</v>
      </c>
      <c r="I21" s="29" t="n">
        <v>3</v>
      </c>
      <c r="J21" s="29" t="n">
        <v>4</v>
      </c>
      <c r="K21" s="29" t="n">
        <v>4</v>
      </c>
      <c r="L21" s="29" t="n">
        <v>4</v>
      </c>
      <c r="M21" s="29" t="n">
        <v>5</v>
      </c>
      <c r="N21" s="29" t="n">
        <v>7</v>
      </c>
      <c r="O21" s="29" t="n">
        <v>10</v>
      </c>
      <c r="P21" s="29" t="n">
        <v>8</v>
      </c>
      <c r="Q21" s="29" t="n">
        <v>6</v>
      </c>
      <c r="R21" s="29" t="n">
        <v>5</v>
      </c>
      <c r="S21" s="29" t="n">
        <v>3</v>
      </c>
      <c r="T21" s="29" t="n">
        <v>5</v>
      </c>
      <c r="U21" s="28">
        <f>IF(COUNT(C21:T21)=18,SUM(C21:T21),"")</f>
        <v/>
      </c>
      <c r="V21" s="28" t="n">
        <v>17</v>
      </c>
      <c r="W21" s="28">
        <f>IF(V21="","",MIN(V21,26))</f>
        <v/>
      </c>
      <c r="X21" s="28">
        <f>IF(OR(U21="",W21=""),"",U21-W21)</f>
        <v/>
      </c>
    </row>
    <row r="22" ht="15" customHeight="1" s="22">
      <c r="A22" s="28" t="inlineStr">
        <is>
          <t>Scapparone, Nico</t>
        </is>
      </c>
      <c r="B22" s="28" t="inlineStr">
        <is>
          <t>ROJO</t>
        </is>
      </c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29" t="n"/>
      <c r="U22" s="28">
        <f>IF(COUNT(C22:T22)=18,SUM(C22:T22),"")</f>
        <v/>
      </c>
      <c r="V22" s="28" t="n"/>
      <c r="W22" s="28">
        <f>IF(V22="","",MIN(V22,26))</f>
        <v/>
      </c>
      <c r="X22" s="28">
        <f>IF(OR(U22="",W22=""),"",U22-W22)</f>
        <v/>
      </c>
    </row>
    <row r="23" ht="15" customHeight="1" s="22">
      <c r="A23" s="28" t="inlineStr">
        <is>
          <t>Fernandez, Lucas</t>
        </is>
      </c>
      <c r="B23" s="28" t="inlineStr">
        <is>
          <t>ROJO</t>
        </is>
      </c>
      <c r="C23" s="29" t="n">
        <v>6</v>
      </c>
      <c r="D23" s="29" t="n">
        <v>4</v>
      </c>
      <c r="E23" s="29" t="n">
        <v>6</v>
      </c>
      <c r="F23" s="29" t="n">
        <v>6</v>
      </c>
      <c r="G23" s="29" t="n">
        <v>6</v>
      </c>
      <c r="H23" s="29" t="n">
        <v>7</v>
      </c>
      <c r="I23" s="29" t="n">
        <v>5</v>
      </c>
      <c r="J23" s="29" t="n">
        <v>5</v>
      </c>
      <c r="K23" s="29" t="n">
        <v>6</v>
      </c>
      <c r="L23" s="29" t="n">
        <v>4</v>
      </c>
      <c r="M23" s="29" t="n">
        <v>6</v>
      </c>
      <c r="N23" s="29" t="n">
        <v>5</v>
      </c>
      <c r="O23" s="29" t="n">
        <v>6</v>
      </c>
      <c r="P23" s="29" t="n">
        <v>4</v>
      </c>
      <c r="Q23" s="29" t="n">
        <v>6</v>
      </c>
      <c r="R23" s="29" t="n">
        <v>5</v>
      </c>
      <c r="S23" s="29" t="n">
        <v>3</v>
      </c>
      <c r="T23" s="29" t="n">
        <v>9</v>
      </c>
      <c r="U23" s="28">
        <f>IF(COUNT(C23:T23)=18,SUM(C23:T23),"")</f>
        <v/>
      </c>
      <c r="V23" s="28" t="n">
        <v>19</v>
      </c>
      <c r="W23" s="28">
        <f>IF(V23="","",MIN(V23,26))</f>
        <v/>
      </c>
      <c r="X23" s="28">
        <f>IF(OR(U23="",W23=""),"",U23-W23)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V6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O39" activeCellId="0" sqref="O39"/>
    </sheetView>
  </sheetViews>
  <sheetFormatPr baseColWidth="8" defaultColWidth="8.83203125" defaultRowHeight="15" customHeight="0" zeroHeight="0" outlineLevelRow="0"/>
  <cols>
    <col width="24" customWidth="1" style="21" min="1" max="1"/>
    <col width="8" customWidth="1" style="21" min="2" max="2"/>
    <col width="10" customWidth="1" style="21" min="3" max="10"/>
    <col width="4.5" customWidth="1" style="21" min="14" max="14"/>
    <col width="14.83" customWidth="1" style="21" min="15" max="15"/>
    <col width="17.83" customWidth="1" style="21" min="16" max="16"/>
    <col width="7.67" customWidth="1" style="21" min="17" max="17"/>
    <col width="8.34" customWidth="1" style="21" min="18" max="18"/>
  </cols>
  <sheetData>
    <row r="1" ht="21.75" customHeight="1" s="22">
      <c r="A1" s="33" t="inlineStr">
        <is>
          <t>RESUMEN MATCH POR JUGADOR</t>
        </is>
      </c>
    </row>
    <row r="2" ht="15" customHeight="1" s="22">
      <c r="A2" s="27" t="inlineStr">
        <is>
          <t>Jugador</t>
        </is>
      </c>
      <c r="B2" s="27" t="inlineStr">
        <is>
          <t>Equipo</t>
        </is>
      </c>
      <c r="C2" s="27" t="inlineStr">
        <is>
          <t>F1 Pts</t>
        </is>
      </c>
      <c r="D2" s="27" t="inlineStr">
        <is>
          <t>F1 Dif</t>
        </is>
      </c>
      <c r="E2" s="27" t="inlineStr">
        <is>
          <t>F2 Pts</t>
        </is>
      </c>
      <c r="F2" s="27" t="inlineStr">
        <is>
          <t>F2 Dif</t>
        </is>
      </c>
      <c r="G2" s="27" t="inlineStr">
        <is>
          <t>F3 Pts</t>
        </is>
      </c>
      <c r="H2" s="27" t="inlineStr">
        <is>
          <t>F3 Dif</t>
        </is>
      </c>
      <c r="I2" s="21" t="inlineStr">
        <is>
          <t>F4 Pts</t>
        </is>
      </c>
      <c r="J2" s="21" t="inlineStr">
        <is>
          <t>F4 Dif</t>
        </is>
      </c>
      <c r="K2" s="21" t="inlineStr">
        <is>
          <t>F5 Pts</t>
        </is>
      </c>
      <c r="L2" s="21" t="inlineStr">
        <is>
          <t>F5 Dif</t>
        </is>
      </c>
      <c r="M2" s="21" t="inlineStr">
        <is>
          <t>F6 Pts</t>
        </is>
      </c>
      <c r="N2" s="21" t="inlineStr">
        <is>
          <t>F6 Dif</t>
        </is>
      </c>
      <c r="O2" s="21" t="inlineStr">
        <is>
          <t>TOT Pts</t>
        </is>
      </c>
      <c r="P2" s="21" t="inlineStr">
        <is>
          <t>TOT Dif</t>
        </is>
      </c>
    </row>
    <row r="3" ht="15" customHeight="1" s="22">
      <c r="A3" s="28" t="inlineStr">
        <is>
          <t>Gonzalez, Agus</t>
        </is>
      </c>
      <c r="B3" s="28" t="inlineStr">
        <is>
          <t>GRIS</t>
        </is>
      </c>
      <c r="C3" s="29" t="n">
        <v>0</v>
      </c>
      <c r="D3" s="29" t="n">
        <v>-2</v>
      </c>
      <c r="E3" s="29" t="n"/>
      <c r="F3" s="29" t="n"/>
      <c r="G3" s="29" t="n">
        <v>0</v>
      </c>
      <c r="H3" s="29" t="n">
        <v>-2</v>
      </c>
      <c r="K3" s="21" t="n">
        <v>0.5</v>
      </c>
      <c r="L3" s="21" t="n">
        <v>3</v>
      </c>
      <c r="M3" s="21" t="n">
        <v>1</v>
      </c>
      <c r="N3" s="21" t="n">
        <v>5</v>
      </c>
      <c r="O3" s="21">
        <f>SUM(C3,E3,G3,I3,K3,M3)</f>
        <v/>
      </c>
      <c r="P3" s="21">
        <f>SUM(D3,F3,H3,J3,L3,N3)</f>
        <v/>
      </c>
    </row>
    <row r="4" ht="15" customHeight="1" s="22">
      <c r="A4" s="28" t="inlineStr">
        <is>
          <t>Tarasido, Gonzalo</t>
        </is>
      </c>
      <c r="B4" s="28" t="inlineStr">
        <is>
          <t>GRIS</t>
        </is>
      </c>
      <c r="C4" s="29" t="n">
        <v>0</v>
      </c>
      <c r="D4" s="29" t="n">
        <v>-2</v>
      </c>
      <c r="E4" s="29" t="n">
        <v>0</v>
      </c>
      <c r="F4" s="29" t="n">
        <v>-2</v>
      </c>
      <c r="G4" s="29" t="n">
        <v>1</v>
      </c>
      <c r="H4" s="29" t="n">
        <v>2</v>
      </c>
      <c r="I4" s="21" t="n">
        <v>0.5</v>
      </c>
      <c r="J4" s="21" t="n">
        <v>4</v>
      </c>
      <c r="K4" s="21" t="n">
        <v>0</v>
      </c>
      <c r="L4" s="21" t="n">
        <v>-4</v>
      </c>
      <c r="M4" s="21" t="n">
        <v>0</v>
      </c>
      <c r="N4" s="21" t="n">
        <v>-3</v>
      </c>
      <c r="O4" s="21">
        <f>SUM(C4,E4,G4,I4,K4,M4)</f>
        <v/>
      </c>
      <c r="P4" s="21">
        <f>SUM(D4,F4,H4,J4,L4,N4)</f>
        <v/>
      </c>
    </row>
    <row r="5" ht="15" customHeight="1" s="22">
      <c r="A5" s="28" t="inlineStr">
        <is>
          <t>Zunino, Javi</t>
        </is>
      </c>
      <c r="B5" s="28" t="inlineStr">
        <is>
          <t>GRIS</t>
        </is>
      </c>
      <c r="C5" s="29" t="n">
        <v>0</v>
      </c>
      <c r="D5" s="29" t="n">
        <v>-1</v>
      </c>
      <c r="E5" s="29" t="n"/>
      <c r="F5" s="29" t="n"/>
      <c r="G5" s="29" t="n"/>
      <c r="H5" s="29" t="n"/>
      <c r="K5" s="21" t="n">
        <v>0.25</v>
      </c>
      <c r="L5" s="21" t="n">
        <v>0</v>
      </c>
      <c r="M5" s="21" t="n">
        <v>1</v>
      </c>
      <c r="N5" s="21" t="n">
        <v>2</v>
      </c>
      <c r="O5" s="21">
        <f>SUM(C5,E5,G5,I5,K5,M5)</f>
        <v/>
      </c>
      <c r="P5" s="21">
        <f>SUM(D5,F5,H5,J5,L5,N5)</f>
        <v/>
      </c>
    </row>
    <row r="6" ht="15" customHeight="1" s="22">
      <c r="A6" s="28" t="inlineStr">
        <is>
          <t>Basaldua, Ignacio</t>
        </is>
      </c>
      <c r="B6" s="28" t="inlineStr">
        <is>
          <t>GRIS</t>
        </is>
      </c>
      <c r="C6" s="29" t="n">
        <v>0</v>
      </c>
      <c r="D6" s="29" t="n">
        <v>-1</v>
      </c>
      <c r="E6" s="29" t="n"/>
      <c r="F6" s="29" t="n"/>
      <c r="G6" s="29" t="n">
        <v>1</v>
      </c>
      <c r="H6" s="29" t="n">
        <v>1</v>
      </c>
      <c r="K6" s="21" t="n">
        <v>0.25</v>
      </c>
      <c r="L6" s="21" t="n">
        <v>0</v>
      </c>
      <c r="M6" s="21" t="n">
        <v>0</v>
      </c>
      <c r="N6" s="21" t="n">
        <v>-3</v>
      </c>
      <c r="O6" s="21">
        <f>SUM(C6,E6,G6,I6,K6,M6)</f>
        <v/>
      </c>
      <c r="P6" s="21">
        <f>SUM(D6,F6,H6,J6,L6,N6)</f>
        <v/>
      </c>
    </row>
    <row r="7" ht="15" customHeight="1" s="22">
      <c r="A7" s="28" t="inlineStr">
        <is>
          <t>Pannullo, Tincho</t>
        </is>
      </c>
      <c r="B7" s="28" t="inlineStr">
        <is>
          <t>GRIS</t>
        </is>
      </c>
      <c r="C7" s="29" t="n">
        <v>0</v>
      </c>
      <c r="D7" s="29" t="n">
        <v>-7</v>
      </c>
      <c r="E7" s="29" t="n">
        <v>0</v>
      </c>
      <c r="F7" s="29" t="n">
        <v>-5</v>
      </c>
      <c r="G7" s="29" t="n">
        <v>1</v>
      </c>
      <c r="H7" s="29" t="n">
        <v>1</v>
      </c>
      <c r="I7" s="21" t="n">
        <v>0.5</v>
      </c>
      <c r="J7" s="21" t="n">
        <v>1</v>
      </c>
      <c r="M7" t="n">
        <v>1</v>
      </c>
      <c r="N7" t="n">
        <v>4</v>
      </c>
      <c r="O7">
        <f>SUM(C7,E7,G7,I7,K7,M7)</f>
        <v/>
      </c>
      <c r="P7">
        <f>SUM(D7,F7,H7,J7,L7,N7)</f>
        <v/>
      </c>
    </row>
    <row r="8" ht="15" customHeight="1" s="22">
      <c r="A8" s="28" t="inlineStr">
        <is>
          <t>Benegas, Pancho</t>
        </is>
      </c>
      <c r="B8" s="28" t="inlineStr">
        <is>
          <t>GRIS</t>
        </is>
      </c>
      <c r="C8" s="29" t="n">
        <v>0</v>
      </c>
      <c r="D8" s="29" t="n">
        <v>-7</v>
      </c>
      <c r="E8" s="29" t="n">
        <v>0</v>
      </c>
      <c r="F8" s="29" t="n">
        <v>-2</v>
      </c>
      <c r="G8" s="29" t="n">
        <v>0</v>
      </c>
      <c r="H8" s="29" t="n">
        <v>-2</v>
      </c>
      <c r="I8" s="21" t="n">
        <v>0</v>
      </c>
      <c r="J8" s="21" t="n">
        <v>-6</v>
      </c>
      <c r="K8" s="21" t="n">
        <v>0.5</v>
      </c>
      <c r="L8" s="21" t="n">
        <v>3</v>
      </c>
      <c r="M8" s="21" t="n">
        <v>1</v>
      </c>
      <c r="N8" s="21" t="n">
        <v>7</v>
      </c>
      <c r="O8" s="21">
        <f>SUM(C8,E8,G8,I8,K8,M8)</f>
        <v/>
      </c>
      <c r="P8" s="21">
        <f>SUM(D8,F8,H8,J8,L8,N8)</f>
        <v/>
      </c>
    </row>
    <row r="9" ht="15" customHeight="1" s="22">
      <c r="A9" s="28" t="inlineStr">
        <is>
          <t>Guevara, Franki</t>
        </is>
      </c>
      <c r="B9" s="28" t="inlineStr">
        <is>
          <t>GRIS</t>
        </is>
      </c>
      <c r="C9" s="29" t="n">
        <v>0.5</v>
      </c>
      <c r="D9" s="29" t="n">
        <v>8</v>
      </c>
      <c r="E9" s="29" t="n">
        <v>1</v>
      </c>
      <c r="F9" s="29" t="n">
        <v>1</v>
      </c>
      <c r="G9" s="29" t="n">
        <v>1</v>
      </c>
      <c r="H9" s="29" t="n">
        <v>2</v>
      </c>
      <c r="I9" s="21" t="n">
        <v>0.5</v>
      </c>
      <c r="J9" s="21" t="n">
        <v>4</v>
      </c>
      <c r="K9" s="21" t="n">
        <v>0</v>
      </c>
      <c r="L9" s="21" t="n">
        <v>-4</v>
      </c>
      <c r="M9" s="21" t="n">
        <v>1</v>
      </c>
      <c r="N9" s="21" t="n">
        <v>3</v>
      </c>
      <c r="O9" s="21">
        <f>SUM(C9,E9,G9,I9,K9,M9)</f>
        <v/>
      </c>
      <c r="P9" s="21">
        <f>SUM(D9,F9,H9,J9,L9,N9)</f>
        <v/>
      </c>
    </row>
    <row r="10" ht="15" customHeight="1" s="22">
      <c r="A10" s="28" t="inlineStr">
        <is>
          <t>Dipaola, Martin</t>
        </is>
      </c>
      <c r="B10" s="28" t="inlineStr">
        <is>
          <t>GRIS</t>
        </is>
      </c>
      <c r="C10" s="29" t="n">
        <v>0.5</v>
      </c>
      <c r="D10" s="29" t="n">
        <v>8</v>
      </c>
      <c r="E10" s="29" t="n">
        <v>1</v>
      </c>
      <c r="F10" s="29" t="n">
        <v>4</v>
      </c>
      <c r="G10" s="29" t="n">
        <v>0</v>
      </c>
      <c r="H10" s="29" t="n">
        <v>-4</v>
      </c>
      <c r="I10" s="21" t="n">
        <v>0.5</v>
      </c>
      <c r="J10" s="21" t="n">
        <v>1</v>
      </c>
      <c r="K10" s="21" t="n">
        <v>0.25</v>
      </c>
      <c r="L10" s="21" t="n">
        <v>0</v>
      </c>
      <c r="M10" s="21" t="n">
        <v>0.5</v>
      </c>
      <c r="N10" s="21" t="n">
        <v>0</v>
      </c>
      <c r="O10" s="21">
        <f>SUM(C10,E10,G10,I10,K10,M10)</f>
        <v/>
      </c>
      <c r="P10" s="21">
        <f>SUM(D10,F10,H10,J10,L10,N10)</f>
        <v/>
      </c>
    </row>
    <row r="11" ht="15" customHeight="1" s="22">
      <c r="A11" s="28" t="inlineStr">
        <is>
          <t>Gatto, Mariano</t>
        </is>
      </c>
      <c r="B11" s="28" t="inlineStr">
        <is>
          <t>ROJO</t>
        </is>
      </c>
      <c r="C11" s="29" t="n">
        <v>0.5</v>
      </c>
      <c r="D11" s="29" t="n">
        <v>2</v>
      </c>
      <c r="E11" s="29" t="n">
        <v>0.5</v>
      </c>
      <c r="F11" s="29" t="n">
        <v>2</v>
      </c>
      <c r="G11" s="29" t="n">
        <v>1</v>
      </c>
      <c r="H11" s="29" t="n">
        <v>2</v>
      </c>
      <c r="I11" s="21" t="n">
        <v>0</v>
      </c>
      <c r="J11" s="21" t="n">
        <v>-4</v>
      </c>
      <c r="K11" s="21" t="n">
        <v>0.25</v>
      </c>
      <c r="L11" s="21" t="n">
        <v>0</v>
      </c>
      <c r="M11" s="21" t="n">
        <v>0</v>
      </c>
      <c r="N11" s="21" t="n">
        <v>-2</v>
      </c>
      <c r="O11" s="21">
        <f>SUM(C11,E11,G11,I11,K11,M11)</f>
        <v/>
      </c>
      <c r="P11" s="21">
        <f>SUM(D11,F11,H11,J11,L11,N11)</f>
        <v/>
      </c>
    </row>
    <row r="12" ht="15" customHeight="1" s="22">
      <c r="A12" s="28" t="inlineStr">
        <is>
          <t>Elizalde, Juancho</t>
        </is>
      </c>
      <c r="B12" s="28" t="inlineStr">
        <is>
          <t>ROJO</t>
        </is>
      </c>
      <c r="C12" s="29" t="n">
        <v>0.5</v>
      </c>
      <c r="D12" s="29" t="n">
        <v>2</v>
      </c>
      <c r="E12" s="29" t="n">
        <v>0.5</v>
      </c>
      <c r="F12" s="29" t="n">
        <v>5</v>
      </c>
      <c r="G12" s="29" t="n">
        <v>1</v>
      </c>
      <c r="H12" s="29" t="n">
        <v>2</v>
      </c>
      <c r="I12" s="21" t="n">
        <v>0</v>
      </c>
      <c r="J12" s="21" t="n">
        <v>-1</v>
      </c>
      <c r="K12" s="21" t="n">
        <v>0.5</v>
      </c>
      <c r="L12" s="21" t="n">
        <v>4</v>
      </c>
      <c r="M12" s="21" t="n">
        <v>0.5</v>
      </c>
      <c r="N12" s="21" t="n">
        <v>0</v>
      </c>
      <c r="O12" s="21">
        <f>SUM(C12,E12,G12,I12,K12,M12)</f>
        <v/>
      </c>
      <c r="P12" s="21">
        <f>SUM(D12,F12,H12,J12,L12,N12)</f>
        <v/>
      </c>
    </row>
    <row r="13" ht="15" customHeight="1" s="22">
      <c r="A13" s="28" t="inlineStr">
        <is>
          <t>Canónico, Agus</t>
        </is>
      </c>
      <c r="B13" s="28" t="inlineStr">
        <is>
          <t>ROJO</t>
        </is>
      </c>
      <c r="C13" s="29" t="n">
        <v>0.5</v>
      </c>
      <c r="D13" s="29" t="n">
        <v>1</v>
      </c>
      <c r="E13" s="29" t="n">
        <v>0.5</v>
      </c>
      <c r="F13" s="29" t="n">
        <v>5</v>
      </c>
      <c r="G13" s="29" t="n">
        <v>0</v>
      </c>
      <c r="H13" s="29" t="n">
        <v>-1</v>
      </c>
      <c r="I13" s="21" t="n">
        <v>0</v>
      </c>
      <c r="J13" s="21" t="n">
        <v>-1</v>
      </c>
      <c r="K13" s="21" t="n">
        <v>0.25</v>
      </c>
      <c r="L13" s="21" t="n">
        <v>0</v>
      </c>
      <c r="M13" s="21" t="n">
        <v>0</v>
      </c>
      <c r="N13" s="21" t="n">
        <v>-4</v>
      </c>
      <c r="O13" s="21">
        <f>SUM(C13,E13,G13,I13,K13,M13)</f>
        <v/>
      </c>
      <c r="P13" s="21">
        <f>SUM(D13,F13,H13,J13,L13,N13)</f>
        <v/>
      </c>
    </row>
    <row r="14" ht="15" customHeight="1" s="22">
      <c r="A14" s="28" t="inlineStr">
        <is>
          <t>Vogelius, Nico</t>
        </is>
      </c>
      <c r="B14" s="28" t="inlineStr">
        <is>
          <t>ROJO</t>
        </is>
      </c>
      <c r="C14" s="29" t="n">
        <v>0.5</v>
      </c>
      <c r="D14" s="29" t="n">
        <v>1</v>
      </c>
      <c r="E14" s="29" t="n">
        <v>0</v>
      </c>
      <c r="F14" s="29" t="n">
        <v>-1</v>
      </c>
      <c r="G14" s="29" t="n">
        <v>0</v>
      </c>
      <c r="H14" s="29" t="n">
        <v>-1</v>
      </c>
      <c r="K14" s="21" t="n">
        <v>0.25</v>
      </c>
      <c r="L14" s="21" t="n">
        <v>0</v>
      </c>
      <c r="M14" s="21" t="n">
        <v>0</v>
      </c>
      <c r="N14" s="21" t="n">
        <v>-7</v>
      </c>
      <c r="O14" s="21">
        <f>SUM(C14,E14,G14,I14,K14,M14)</f>
        <v/>
      </c>
      <c r="P14" s="21">
        <f>SUM(D14,F14,H14,J14,L14,N14)</f>
        <v/>
      </c>
    </row>
    <row r="15" ht="15" customHeight="1" s="22">
      <c r="A15" s="28" t="inlineStr">
        <is>
          <t>Mendez, Pato</t>
        </is>
      </c>
      <c r="B15" s="28" t="inlineStr">
        <is>
          <t>ROJO</t>
        </is>
      </c>
      <c r="C15" s="29" t="n">
        <v>0.5</v>
      </c>
      <c r="D15" s="29" t="n">
        <v>7</v>
      </c>
      <c r="E15" s="29" t="n">
        <v>0.5</v>
      </c>
      <c r="F15" s="29" t="n">
        <v>2</v>
      </c>
      <c r="G15" s="29" t="n">
        <v>0</v>
      </c>
      <c r="H15" s="29" t="n">
        <v>-2</v>
      </c>
      <c r="I15" s="21" t="n">
        <v>0.5</v>
      </c>
      <c r="J15" s="21" t="n">
        <v>6</v>
      </c>
      <c r="K15" s="21" t="n">
        <v>0.25</v>
      </c>
      <c r="L15" s="21" t="n">
        <v>0</v>
      </c>
      <c r="M15" s="21" t="n">
        <v>1</v>
      </c>
      <c r="N15" s="21" t="n">
        <v>3</v>
      </c>
      <c r="O15" s="21">
        <f>SUM(C15,E15,G15,I15,K15,M15)</f>
        <v/>
      </c>
      <c r="P15" s="21">
        <f>SUM(D15,F15,H15,J15,L15,N15)</f>
        <v/>
      </c>
    </row>
    <row r="16" ht="15" customHeight="1" s="22">
      <c r="A16" s="28" t="inlineStr">
        <is>
          <t>Molinario, Andy</t>
        </is>
      </c>
      <c r="B16" s="28" t="inlineStr">
        <is>
          <t>ROJO</t>
        </is>
      </c>
      <c r="C16" s="29" t="n">
        <v>0.5</v>
      </c>
      <c r="D16" s="29" t="n">
        <v>7</v>
      </c>
      <c r="E16" s="29" t="n">
        <v>0</v>
      </c>
      <c r="F16" s="29" t="n">
        <v>-4</v>
      </c>
      <c r="G16" s="29" t="n">
        <v>1</v>
      </c>
      <c r="H16" s="29" t="n">
        <v>5</v>
      </c>
      <c r="I16" s="21" t="n">
        <v>0.5</v>
      </c>
      <c r="J16" s="21" t="n">
        <v>6</v>
      </c>
      <c r="M16" t="n">
        <v>1</v>
      </c>
      <c r="N16" t="n">
        <v>3</v>
      </c>
      <c r="O16">
        <f>SUM(C16,E16,G16,I16,K16,M16)</f>
        <v/>
      </c>
      <c r="P16">
        <f>SUM(D16,F16,H16,J16,L16,N16)</f>
        <v/>
      </c>
    </row>
    <row r="17" ht="15" customHeight="1" s="22">
      <c r="A17" s="28" t="inlineStr">
        <is>
          <t>Scapparone, Nico</t>
        </is>
      </c>
      <c r="B17" s="28" t="inlineStr">
        <is>
          <t>ROJO</t>
        </is>
      </c>
      <c r="C17" s="29" t="n">
        <v>0</v>
      </c>
      <c r="D17" s="29" t="n">
        <v>-8</v>
      </c>
      <c r="E17" s="29" t="n"/>
      <c r="F17" s="29" t="n"/>
      <c r="G17" s="29" t="n"/>
      <c r="H17" s="29" t="n"/>
      <c r="M17" t="n">
        <v>0</v>
      </c>
      <c r="N17" t="n">
        <v>-3</v>
      </c>
      <c r="O17">
        <f>SUM(C17,E17,G17,I17,K17,M17)</f>
        <v/>
      </c>
      <c r="P17">
        <f>SUM(D17,F17,H17,J17,L17,N17)</f>
        <v/>
      </c>
    </row>
    <row r="18" ht="15" customHeight="1" s="22">
      <c r="A18" s="28" t="inlineStr">
        <is>
          <t>Fernandez, Lucas</t>
        </is>
      </c>
      <c r="B18" s="28" t="inlineStr">
        <is>
          <t>ROJO</t>
        </is>
      </c>
      <c r="C18" s="29" t="n"/>
      <c r="D18" s="29" t="n"/>
      <c r="E18" s="29" t="n">
        <v>0</v>
      </c>
      <c r="F18" s="29" t="n">
        <v>-1</v>
      </c>
      <c r="G18" s="29" t="n">
        <v>1</v>
      </c>
      <c r="H18" s="29" t="n">
        <v>4</v>
      </c>
      <c r="I18" s="21" t="n">
        <v>0</v>
      </c>
      <c r="J18" s="21" t="n">
        <v>-4</v>
      </c>
      <c r="K18" s="21" t="n">
        <v>0</v>
      </c>
      <c r="L18" s="21" t="n">
        <v>-3</v>
      </c>
      <c r="M18" s="21" t="n">
        <v>0</v>
      </c>
      <c r="N18" s="21" t="n">
        <v>-5</v>
      </c>
      <c r="O18" s="21">
        <f>SUM(C18,E18,G18,I18,K18,M18)</f>
        <v/>
      </c>
      <c r="P18" s="21">
        <f>SUM(D18,F18,H18,J18,L18,N18)</f>
        <v/>
      </c>
    </row>
    <row r="19" ht="15" customHeight="1" s="22">
      <c r="A19" s="31" t="inlineStr">
        <is>
          <t>Gatto, Alejandro (Rojo)</t>
        </is>
      </c>
      <c r="B19" s="31" t="inlineStr">
        <is>
          <t>ROJO</t>
        </is>
      </c>
      <c r="C19" s="32" t="n">
        <v>0</v>
      </c>
      <c r="D19" s="32" t="n">
        <v>-8</v>
      </c>
      <c r="E19" s="32" t="n">
        <v>0</v>
      </c>
      <c r="F19" s="32" t="n">
        <v>-4</v>
      </c>
      <c r="G19" s="32" t="n"/>
      <c r="H19" s="32" t="n"/>
      <c r="O19">
        <f>SUM(C19,E19,G19,I19,K19,M19)</f>
        <v/>
      </c>
      <c r="P19">
        <f>SUM(D19,F19,H19,J19,L19,N19)</f>
        <v/>
      </c>
    </row>
    <row r="20" ht="15" customHeight="1" s="22">
      <c r="A20" s="31" t="inlineStr">
        <is>
          <t>Alfonso, Juan Ignacio</t>
        </is>
      </c>
      <c r="B20" s="31" t="inlineStr">
        <is>
          <t>ROJO</t>
        </is>
      </c>
      <c r="C20" s="32" t="n"/>
      <c r="D20" s="32" t="n"/>
      <c r="E20" s="32" t="n"/>
      <c r="F20" s="32" t="n"/>
      <c r="G20" s="32" t="n">
        <v>0</v>
      </c>
      <c r="H20" s="32" t="n">
        <v>-2</v>
      </c>
      <c r="K20" s="21" t="n">
        <v>0.5</v>
      </c>
      <c r="L20" s="21" t="n">
        <v>4</v>
      </c>
      <c r="M20" s="21" t="n"/>
      <c r="N20" s="21" t="n"/>
      <c r="O20" s="21">
        <f>SUM(C20,E20,G20,I20,K20,M20)</f>
        <v/>
      </c>
      <c r="P20" s="21">
        <f>SUM(D20,F20,H20,J20,L20,N20)</f>
        <v/>
      </c>
    </row>
    <row r="21" ht="15" customHeight="1" s="22">
      <c r="A21" s="21" t="inlineStr">
        <is>
          <t>Gatto, Alejandro (Gris)</t>
        </is>
      </c>
      <c r="B21" s="21" t="inlineStr">
        <is>
          <t>GRIS</t>
        </is>
      </c>
      <c r="G21" s="21" t="n">
        <v>0</v>
      </c>
      <c r="H21" s="21" t="n">
        <v>-5</v>
      </c>
      <c r="I21" s="21" t="n">
        <v>0.5</v>
      </c>
      <c r="J21" s="21" t="n">
        <v>1</v>
      </c>
      <c r="O21">
        <f>SUM(C21,E21,G21,I21,K21,M21)</f>
        <v/>
      </c>
      <c r="P21">
        <f>SUM(D21,F21,H21,J21,L21,N21)</f>
        <v/>
      </c>
    </row>
    <row r="22" ht="15" customHeight="1" s="22">
      <c r="A22" s="21" t="inlineStr">
        <is>
          <t>Gatto, Hector</t>
        </is>
      </c>
      <c r="B22" s="21" t="inlineStr">
        <is>
          <t>GRIS</t>
        </is>
      </c>
      <c r="I22" s="21" t="n">
        <v>0.5</v>
      </c>
      <c r="J22" s="21" t="n">
        <v>1</v>
      </c>
      <c r="O22">
        <f>SUM(C22,E22,G22,I22,K22,M22)</f>
        <v/>
      </c>
      <c r="P22">
        <f>SUM(D22,F22,H22,J22,L22,N22)</f>
        <v/>
      </c>
    </row>
    <row r="23" ht="15" customHeight="1" s="22">
      <c r="A23" s="21" t="inlineStr">
        <is>
          <t>Nissen, Germán</t>
        </is>
      </c>
      <c r="B23" s="21" t="inlineStr">
        <is>
          <t>ROJO</t>
        </is>
      </c>
      <c r="I23" s="21" t="n">
        <v>0</v>
      </c>
      <c r="J23" s="21" t="n">
        <v>-1</v>
      </c>
      <c r="O23">
        <f>SUM(C23,E23,G23,I23,K23,M23)</f>
        <v/>
      </c>
      <c r="P23">
        <f>SUM(D23,F23,H23,J23,L23,N23)</f>
        <v/>
      </c>
    </row>
    <row r="24" ht="15" customHeight="1" s="22">
      <c r="A24" s="21" t="inlineStr">
        <is>
          <t>Diaz Delfino, Pablo</t>
        </is>
      </c>
      <c r="B24" s="21" t="inlineStr">
        <is>
          <t>GRIS</t>
        </is>
      </c>
      <c r="K24" s="21" t="n">
        <v>0.25</v>
      </c>
      <c r="L24" s="21" t="n">
        <v>0</v>
      </c>
      <c r="M24" s="21" t="n"/>
      <c r="N24" s="21" t="n"/>
      <c r="O24" s="21">
        <f>SUM(C24,E24,G24,I24,K24,M24)</f>
        <v/>
      </c>
      <c r="P24" s="21">
        <f>SUM(D24,F24,H24,J24,L24,N24)</f>
        <v/>
      </c>
    </row>
    <row r="25" ht="15" customHeight="1" s="22">
      <c r="A25" s="21" t="inlineStr">
        <is>
          <t>Gascon, Alejo</t>
        </is>
      </c>
      <c r="B25" s="21" t="inlineStr">
        <is>
          <t>ROJO</t>
        </is>
      </c>
      <c r="K25" s="21" t="n">
        <v>0</v>
      </c>
      <c r="L25" s="21" t="n">
        <v>-3</v>
      </c>
      <c r="M25" s="21" t="n"/>
      <c r="N25" s="21" t="n"/>
      <c r="O25" s="21">
        <f>SUM(C25,E25,G25,I25,K25,M25)</f>
        <v/>
      </c>
      <c r="P25" s="21">
        <f>SUM(D25,F25,H25,J25,L25,N25)</f>
        <v/>
      </c>
    </row>
    <row r="26" ht="15" customHeight="1" s="22">
      <c r="A26" s="34" t="inlineStr">
        <is>
          <t>Total GRIS</t>
        </is>
      </c>
      <c r="C26" s="21">
        <f>SUMIF($B$3:$B$25,"GRIS",C3:C25)</f>
        <v/>
      </c>
      <c r="D26" s="21">
        <f>SUMIF($B$3:$B$25,"GRIS",D3:D25)</f>
        <v/>
      </c>
      <c r="E26" s="21">
        <f>SUMIF($B$3:$B$25,"GRIS",E3:E25)</f>
        <v/>
      </c>
      <c r="F26" s="21">
        <f>SUMIF($B$3:$B$25,"GRIS",F3:F25)</f>
        <v/>
      </c>
      <c r="G26" s="21">
        <f>SUMIF($B$3:$B$25,"GRIS",G3:G25)</f>
        <v/>
      </c>
      <c r="H26" s="21">
        <f>SUMIF($B$3:$B$25,"GRIS",H3:H25)</f>
        <v/>
      </c>
      <c r="I26" s="21">
        <f>SUMIF($B$3:$B$25,"GRIS",I3:I25)</f>
        <v/>
      </c>
      <c r="J26" s="21">
        <f>SUMIF($B$3:$B$25,"GRIS",J3:J25)</f>
        <v/>
      </c>
      <c r="K26" s="21">
        <f>SUMIF($B$3:$B$25,"GRIS",K3:K25)</f>
        <v/>
      </c>
      <c r="L26" s="21">
        <f>SUMIF($B$3:$B$25,"GRIS",L3:L25)</f>
        <v/>
      </c>
      <c r="M26" s="21">
        <f>SUMIF($B$3:$B$25,"GRIS",M3:M25)</f>
        <v/>
      </c>
      <c r="N26" s="21">
        <f>SUMIF($B$3:$B$25,"GRIS",N3:N25)</f>
        <v/>
      </c>
      <c r="O26" s="21">
        <f>SUMIF($B$3:$B$25,"GRIS",O3:O25)</f>
        <v/>
      </c>
      <c r="P26" s="21">
        <f>SUMIF($B$3:$B$25,"GRIS",P3:P25)</f>
        <v/>
      </c>
    </row>
    <row r="27" ht="15" customHeight="1" s="22">
      <c r="A27" s="34" t="inlineStr">
        <is>
          <t>Total ROJO</t>
        </is>
      </c>
      <c r="C27" s="21">
        <f>SUMIF($B$3:$B$25,"ROJO",C3:C25)</f>
        <v/>
      </c>
      <c r="D27" s="21">
        <f>SUMIF($B$3:$B$25,"ROJO",D3:D25)</f>
        <v/>
      </c>
      <c r="E27" s="21">
        <f>SUMIF($B$3:$B$25,"ROJO",E3:E25)</f>
        <v/>
      </c>
      <c r="F27" s="21">
        <f>SUMIF($B$3:$B$25,"ROJO",F3:F25)</f>
        <v/>
      </c>
      <c r="G27" s="21">
        <f>SUMIF($B$3:$B$25,"ROJO",G3:G25)</f>
        <v/>
      </c>
      <c r="H27" s="21">
        <f>SUMIF($B$3:$B$25,"ROJO",H3:H25)</f>
        <v/>
      </c>
      <c r="I27" s="21">
        <f>SUMIF($B$3:$B$25,"ROJO",I3:I25)</f>
        <v/>
      </c>
      <c r="J27" s="21">
        <f>SUMIF($B$3:$B$25,"ROJO",J3:J25)</f>
        <v/>
      </c>
      <c r="K27" s="21">
        <f>SUMIF($B$3:$B$25,"ROJO",K3:K25)</f>
        <v/>
      </c>
      <c r="L27" s="21">
        <f>SUMIF($B$3:$B$25,"ROJO",L3:L25)</f>
        <v/>
      </c>
      <c r="M27" s="21">
        <f>SUMIF($B$3:$B$25,"ROJO",M3:M25)</f>
        <v/>
      </c>
      <c r="N27" s="21">
        <f>SUMIF($B$3:$B$25,"ROJO",N3:N25)</f>
        <v/>
      </c>
      <c r="O27" s="21">
        <f>SUMIF($B$3:$B$25,"ROJO",O3:O25)</f>
        <v/>
      </c>
      <c r="P27" s="21">
        <f>SUMIF($B$3:$B$25,"ROJO",P3:P25)</f>
        <v/>
      </c>
    </row>
    <row r="30" ht="15" customHeight="1" s="22">
      <c r="N30" s="21" t="n"/>
    </row>
    <row r="34" ht="15" customHeight="1" s="22">
      <c r="R34" s="35" t="inlineStr">
        <is>
          <t>FECHA 1 — 14-mar-2026</t>
        </is>
      </c>
    </row>
    <row r="35" ht="15" customHeight="1" s="22">
      <c r="R35" s="27" t="inlineStr">
        <is>
          <t>Tipo</t>
        </is>
      </c>
      <c r="S35" s="27" t="inlineStr">
        <is>
          <t>Gris</t>
        </is>
      </c>
      <c r="T35" s="27" t="inlineStr">
        <is>
          <t>Rojo</t>
        </is>
      </c>
      <c r="U35" s="27" t="inlineStr">
        <is>
          <t>Ganador</t>
        </is>
      </c>
      <c r="V35" s="27" t="inlineStr">
        <is>
          <t>Dif Hoyos</t>
        </is>
      </c>
    </row>
    <row r="36" ht="15" customHeight="1" s="22">
      <c r="R36" s="29" t="inlineStr">
        <is>
          <t>FB</t>
        </is>
      </c>
      <c r="S36" s="29" t="inlineStr">
        <is>
          <t>guevara, dipaola</t>
        </is>
      </c>
      <c r="T36" s="29" t="inlineStr">
        <is>
          <t>scapparone, gatto_ale</t>
        </is>
      </c>
      <c r="U36" s="29" t="inlineStr">
        <is>
          <t>GRIS</t>
        </is>
      </c>
      <c r="V36" s="29" t="n">
        <v>8</v>
      </c>
    </row>
    <row r="37" ht="15" customHeight="1" s="22">
      <c r="N37" s="36" t="n"/>
      <c r="O37" s="37" t="n"/>
      <c r="P37" s="37" t="n"/>
      <c r="Q37" s="37" t="n"/>
      <c r="R37" s="38" t="n"/>
      <c r="S37" s="29" t="inlineStr">
        <is>
          <t>pannullo, benegas</t>
        </is>
      </c>
      <c r="T37" s="29" t="inlineStr">
        <is>
          <t>molinario, mendez</t>
        </is>
      </c>
      <c r="U37" s="29" t="inlineStr">
        <is>
          <t>ROJO</t>
        </is>
      </c>
      <c r="V37" s="29" t="n">
        <v>7</v>
      </c>
    </row>
    <row r="38" ht="15" customHeight="1" s="22">
      <c r="R38" s="29" t="inlineStr">
        <is>
          <t>FB</t>
        </is>
      </c>
      <c r="S38" s="29" t="inlineStr">
        <is>
          <t>zunino, basaldua</t>
        </is>
      </c>
      <c r="T38" s="29" t="inlineStr">
        <is>
          <t>canonico, vogelius</t>
        </is>
      </c>
      <c r="U38" s="29" t="inlineStr">
        <is>
          <t>ROJO</t>
        </is>
      </c>
      <c r="V38" s="29" t="n">
        <v>1</v>
      </c>
    </row>
    <row r="39" ht="15" customHeight="1" s="22">
      <c r="R39" s="29" t="inlineStr">
        <is>
          <t>FB</t>
        </is>
      </c>
      <c r="S39" s="29" t="inlineStr">
        <is>
          <t>tarasido, gonzalez</t>
        </is>
      </c>
      <c r="T39" s="29" t="inlineStr">
        <is>
          <t>elizalde, gatto</t>
        </is>
      </c>
      <c r="U39" s="29" t="inlineStr">
        <is>
          <t>ROJO</t>
        </is>
      </c>
      <c r="V39" s="29" t="n">
        <v>2</v>
      </c>
    </row>
    <row r="41" ht="15" customHeight="1" s="22">
      <c r="R41" s="35" t="inlineStr">
        <is>
          <t>FECHA 2 — 11 Abr 2026</t>
        </is>
      </c>
    </row>
    <row r="42" ht="15" customHeight="1" s="22">
      <c r="R42" s="27" t="inlineStr">
        <is>
          <t>Tipo</t>
        </is>
      </c>
      <c r="S42" s="27" t="inlineStr">
        <is>
          <t>Gris</t>
        </is>
      </c>
      <c r="T42" s="27" t="inlineStr">
        <is>
          <t>Rojo</t>
        </is>
      </c>
      <c r="U42" s="27" t="inlineStr">
        <is>
          <t>Ganador</t>
        </is>
      </c>
      <c r="V42" s="27" t="inlineStr">
        <is>
          <t>Dif Hoyos</t>
        </is>
      </c>
    </row>
    <row r="43" ht="15" customHeight="1" s="22">
      <c r="R43" s="29" t="inlineStr">
        <is>
          <t>FB</t>
        </is>
      </c>
      <c r="S43" s="29" t="inlineStr">
        <is>
          <t>guevara</t>
        </is>
      </c>
      <c r="T43" s="29" t="inlineStr">
        <is>
          <t>vogelius, fernandez</t>
        </is>
      </c>
      <c r="U43" s="29" t="inlineStr">
        <is>
          <t>GRIS</t>
        </is>
      </c>
      <c r="V43" s="29" t="n">
        <v>1</v>
      </c>
    </row>
    <row r="44" ht="15" customHeight="1" s="22">
      <c r="N44" s="36" t="n"/>
      <c r="O44" s="37" t="n"/>
      <c r="P44" s="37" t="n"/>
      <c r="Q44" s="37" t="n"/>
      <c r="R44" s="38" t="n"/>
      <c r="S44" s="29" t="inlineStr">
        <is>
          <t>dipaola</t>
        </is>
      </c>
      <c r="T44" s="29" t="inlineStr">
        <is>
          <t>gatto_ale, molinario</t>
        </is>
      </c>
      <c r="U44" s="29" t="inlineStr">
        <is>
          <t>GRIS</t>
        </is>
      </c>
      <c r="V44" s="29" t="n">
        <v>4</v>
      </c>
    </row>
    <row r="45" ht="15" customHeight="1" s="22">
      <c r="R45" s="29" t="inlineStr">
        <is>
          <t>FB</t>
        </is>
      </c>
      <c r="S45" s="29" t="inlineStr">
        <is>
          <t>pannullo</t>
        </is>
      </c>
      <c r="T45" s="29" t="inlineStr">
        <is>
          <t>elizalde, canonico</t>
        </is>
      </c>
      <c r="U45" s="29" t="inlineStr">
        <is>
          <t>ROJO</t>
        </is>
      </c>
      <c r="V45" s="29" t="n">
        <v>5</v>
      </c>
    </row>
    <row r="46" ht="15" customHeight="1" s="22">
      <c r="R46" s="29" t="inlineStr">
        <is>
          <t>FB</t>
        </is>
      </c>
      <c r="S46" s="29" t="inlineStr">
        <is>
          <t>tarasido, benegas</t>
        </is>
      </c>
      <c r="T46" s="29" t="inlineStr">
        <is>
          <t>gatto, mendez</t>
        </is>
      </c>
      <c r="U46" s="29" t="inlineStr">
        <is>
          <t>ROJO</t>
        </is>
      </c>
      <c r="V46" s="29" t="n">
        <v>2</v>
      </c>
    </row>
    <row r="48" ht="15" customHeight="1" s="22">
      <c r="R48" s="35" t="inlineStr">
        <is>
          <t>FECHA 3 — 09 May 2026</t>
        </is>
      </c>
    </row>
    <row r="49" ht="15" customHeight="1" s="22">
      <c r="R49" s="27" t="inlineStr">
        <is>
          <t>Tipo</t>
        </is>
      </c>
      <c r="S49" s="27" t="inlineStr">
        <is>
          <t>Gris</t>
        </is>
      </c>
      <c r="T49" s="27" t="inlineStr">
        <is>
          <t>Rojo</t>
        </is>
      </c>
      <c r="U49" s="27" t="inlineStr">
        <is>
          <t>Ganador</t>
        </is>
      </c>
      <c r="V49" s="27" t="inlineStr">
        <is>
          <t>Dif Hoyos</t>
        </is>
      </c>
    </row>
    <row r="50" ht="15" customHeight="1" s="22">
      <c r="R50" s="29" t="inlineStr">
        <is>
          <t>IND</t>
        </is>
      </c>
      <c r="S50" s="29" t="inlineStr">
        <is>
          <t>benegas</t>
        </is>
      </c>
      <c r="T50" s="29" t="inlineStr">
        <is>
          <t>elizalde</t>
        </is>
      </c>
      <c r="U50" s="29" t="inlineStr">
        <is>
          <t>ROJO</t>
        </is>
      </c>
      <c r="V50" s="29" t="n">
        <v>2</v>
      </c>
    </row>
    <row r="51" ht="15" customHeight="1" s="22">
      <c r="R51" s="29" t="inlineStr">
        <is>
          <t>IND</t>
        </is>
      </c>
      <c r="S51" s="29" t="inlineStr">
        <is>
          <t>dipaola</t>
        </is>
      </c>
      <c r="T51" s="29" t="inlineStr">
        <is>
          <t>fernandez</t>
        </is>
      </c>
      <c r="U51" s="29" t="inlineStr">
        <is>
          <t>ROJO</t>
        </is>
      </c>
      <c r="V51" s="29" t="n">
        <v>4</v>
      </c>
    </row>
    <row r="52" ht="15" customHeight="1" s="22">
      <c r="R52" s="29" t="inlineStr">
        <is>
          <t>IND</t>
        </is>
      </c>
      <c r="S52" s="29" t="inlineStr">
        <is>
          <t>gatto_ale</t>
        </is>
      </c>
      <c r="T52" s="29" t="inlineStr">
        <is>
          <t>molinario</t>
        </is>
      </c>
      <c r="U52" s="29" t="inlineStr">
        <is>
          <t>ROJO</t>
        </is>
      </c>
      <c r="V52" s="29" t="n">
        <v>5</v>
      </c>
    </row>
    <row r="53" ht="15" customHeight="1" s="22">
      <c r="R53" s="29" t="inlineStr">
        <is>
          <t>IND</t>
        </is>
      </c>
      <c r="S53" s="29" t="inlineStr">
        <is>
          <t>guevara</t>
        </is>
      </c>
      <c r="T53" s="29" t="inlineStr">
        <is>
          <t>mendez</t>
        </is>
      </c>
      <c r="U53" s="29" t="inlineStr">
        <is>
          <t>GRIS</t>
        </is>
      </c>
      <c r="V53" s="29" t="n">
        <v>2</v>
      </c>
    </row>
    <row r="54" ht="15" customHeight="1" s="22">
      <c r="R54" s="29" t="inlineStr">
        <is>
          <t>IND</t>
        </is>
      </c>
      <c r="S54" s="29" t="inlineStr">
        <is>
          <t>basaldua</t>
        </is>
      </c>
      <c r="T54" s="29" t="inlineStr">
        <is>
          <t>canonico</t>
        </is>
      </c>
      <c r="U54" s="29" t="inlineStr">
        <is>
          <t>GRIS</t>
        </is>
      </c>
      <c r="V54" s="29" t="n">
        <v>1</v>
      </c>
    </row>
    <row r="55" ht="15" customHeight="1" s="22">
      <c r="R55" s="29" t="inlineStr">
        <is>
          <t>FECHA 4 — 06 Jun 2026 — CUBA Fátima (niebla — solo match)</t>
        </is>
      </c>
      <c r="S55" s="29" t="inlineStr">
        <is>
          <t>tarasido</t>
        </is>
      </c>
      <c r="T55" s="29" t="inlineStr">
        <is>
          <t>sup_alfonso</t>
        </is>
      </c>
      <c r="U55" s="29" t="inlineStr">
        <is>
          <t>GRIS</t>
        </is>
      </c>
      <c r="V55" s="29" t="n">
        <v>2</v>
      </c>
    </row>
    <row r="56" ht="15" customHeight="1" s="22">
      <c r="R56" s="29" t="inlineStr">
        <is>
          <t>Tipo</t>
        </is>
      </c>
      <c r="S56" s="29" t="inlineStr">
        <is>
          <t>Gris</t>
        </is>
      </c>
      <c r="T56" s="29" t="inlineStr">
        <is>
          <t>Rojo</t>
        </is>
      </c>
      <c r="U56" s="29" t="inlineStr">
        <is>
          <t>Ganador</t>
        </is>
      </c>
      <c r="V56" s="29" t="inlineStr">
        <is>
          <t>Dif Hoyos</t>
        </is>
      </c>
    </row>
    <row r="57" ht="15" customHeight="1" s="22">
      <c r="R57" s="29" t="inlineStr">
        <is>
          <t>FB</t>
        </is>
      </c>
      <c r="S57" s="29" t="inlineStr">
        <is>
          <t>dipaola, pannullo</t>
        </is>
      </c>
      <c r="T57" s="29" t="inlineStr">
        <is>
          <t>sup_nissen, elizalde</t>
        </is>
      </c>
      <c r="U57" s="29" t="inlineStr">
        <is>
          <t>GRIS</t>
        </is>
      </c>
      <c r="V57" s="29" t="n">
        <v>1</v>
      </c>
    </row>
    <row r="58" ht="15" customHeight="1" s="22">
      <c r="R58" s="21" t="inlineStr">
        <is>
          <t>FB</t>
        </is>
      </c>
      <c r="S58" s="21" t="inlineStr">
        <is>
          <t>gatto_ale, hector_gatto</t>
        </is>
      </c>
      <c r="T58" s="21" t="inlineStr">
        <is>
          <t>canonico, sin_suplente</t>
        </is>
      </c>
      <c r="U58" s="21" t="inlineStr">
        <is>
          <t>GRIS</t>
        </is>
      </c>
      <c r="V58" s="21" t="n">
        <v>1</v>
      </c>
    </row>
    <row r="59" ht="15" customHeight="1" s="22">
      <c r="R59" s="21" t="inlineStr">
        <is>
          <t>FB</t>
        </is>
      </c>
      <c r="S59" s="21" t="inlineStr">
        <is>
          <t>guevara, tarasido</t>
        </is>
      </c>
      <c r="T59" s="21" t="inlineStr">
        <is>
          <t>fernandez, gatto</t>
        </is>
      </c>
      <c r="U59" s="21" t="inlineStr">
        <is>
          <t>GRIS</t>
        </is>
      </c>
      <c r="V59" s="21" t="n">
        <v>4</v>
      </c>
    </row>
    <row r="60" ht="15" customHeight="1" s="22">
      <c r="R60" s="21" t="inlineStr">
        <is>
          <t>FB</t>
        </is>
      </c>
      <c r="S60" s="21" t="inlineStr">
        <is>
          <t>benegas, sin_suplente</t>
        </is>
      </c>
      <c r="T60" s="21" t="inlineStr">
        <is>
          <t>mendez, molinario</t>
        </is>
      </c>
      <c r="U60" s="21" t="inlineStr">
        <is>
          <t>ROJO</t>
        </is>
      </c>
      <c r="V60" s="21" t="n">
        <v>6</v>
      </c>
    </row>
    <row r="62" ht="15" customHeight="1" s="22">
      <c r="R62" s="21" t="inlineStr">
        <is>
          <t>FECHA 5 — 04 Jul 2026 — La Orquídea</t>
        </is>
      </c>
    </row>
    <row r="63" ht="15" customHeight="1" s="22">
      <c r="R63" s="21" t="inlineStr">
        <is>
          <t>Tipo</t>
        </is>
      </c>
      <c r="S63" s="21" t="inlineStr">
        <is>
          <t>Gris</t>
        </is>
      </c>
      <c r="T63" s="21" t="inlineStr">
        <is>
          <t>Rojo</t>
        </is>
      </c>
      <c r="U63" s="21" t="inlineStr">
        <is>
          <t>Ganador</t>
        </is>
      </c>
      <c r="V63" s="21" t="inlineStr">
        <is>
          <t>Dif Hoyos</t>
        </is>
      </c>
    </row>
    <row r="64" ht="15" customHeight="1" s="22">
      <c r="R64" s="21" t="inlineStr">
        <is>
          <t>FB</t>
        </is>
      </c>
      <c r="S64" s="21" t="inlineStr">
        <is>
          <t>gonzalez, benegas</t>
        </is>
      </c>
      <c r="T64" s="21" t="inlineStr">
        <is>
          <t>fernandez, sup_gascon</t>
        </is>
      </c>
      <c r="U64" s="21" t="inlineStr">
        <is>
          <t>GRIS</t>
        </is>
      </c>
      <c r="V64" s="21" t="n">
        <v>3</v>
      </c>
    </row>
    <row r="65" ht="15" customHeight="1" s="22">
      <c r="R65" s="21" t="inlineStr">
        <is>
          <t>FB</t>
        </is>
      </c>
      <c r="S65" s="21" t="inlineStr">
        <is>
          <t>basaldua, sup_diazdelfino</t>
        </is>
      </c>
      <c r="T65" s="21" t="inlineStr">
        <is>
          <t>vogelius, gatto</t>
        </is>
      </c>
      <c r="U65" s="21" t="inlineStr">
        <is>
          <t>EMPATE</t>
        </is>
      </c>
      <c r="V65" s="21" t="n">
        <v>0</v>
      </c>
    </row>
    <row r="66" ht="15" customHeight="1" s="22">
      <c r="R66" s="21" t="inlineStr">
        <is>
          <t>FB</t>
        </is>
      </c>
      <c r="S66" s="21" t="inlineStr">
        <is>
          <t>zunino, dipaola</t>
        </is>
      </c>
      <c r="T66" s="21" t="inlineStr">
        <is>
          <t>mendez, canonico</t>
        </is>
      </c>
      <c r="U66" s="21" t="inlineStr">
        <is>
          <t>EMPATE</t>
        </is>
      </c>
      <c r="V66" s="21" t="n">
        <v>0</v>
      </c>
    </row>
    <row r="67" ht="15" customHeight="1" s="22">
      <c r="R67" s="21" t="inlineStr">
        <is>
          <t>FB</t>
        </is>
      </c>
      <c r="S67" s="21" t="inlineStr">
        <is>
          <t>guevara, tarasido</t>
        </is>
      </c>
      <c r="T67" s="21" t="inlineStr">
        <is>
          <t>sup_alfonso, elizalde</t>
        </is>
      </c>
      <c r="U67" s="21" t="inlineStr">
        <is>
          <t>ROJO</t>
        </is>
      </c>
      <c r="V67" s="21" t="n">
        <v>4</v>
      </c>
    </row>
  </sheetData>
  <mergeCells count="4">
    <mergeCell ref="N44:R44"/>
    <mergeCell ref="A1:J1"/>
    <mergeCell ref="N37:R37"/>
    <mergeCell ref="N30:R3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H30" activeCellId="0" sqref="H30"/>
    </sheetView>
  </sheetViews>
  <sheetFormatPr baseColWidth="8" defaultColWidth="8.83203125" defaultRowHeight="15" customHeight="0" zeroHeight="0" outlineLevelRow="0"/>
  <cols>
    <col width="24" customWidth="1" style="21" min="1" max="1"/>
    <col width="8" customWidth="1" style="21" min="2" max="2"/>
    <col width="11" customWidth="1" style="21" min="3" max="7"/>
  </cols>
  <sheetData>
    <row r="1" ht="21.75" customHeight="1" s="22">
      <c r="A1" s="27" t="inlineStr">
        <is>
          <t>Jugador</t>
        </is>
      </c>
      <c r="B1" s="27" t="inlineStr">
        <is>
          <t>Equipo</t>
        </is>
      </c>
      <c r="C1" s="27" t="inlineStr">
        <is>
          <t>F1 Gross</t>
        </is>
      </c>
      <c r="D1" s="27" t="inlineStr">
        <is>
          <t>F2 Gross</t>
        </is>
      </c>
      <c r="E1" s="27" t="inlineStr">
        <is>
          <t>F3 Gross</t>
        </is>
      </c>
      <c r="F1" s="21" t="inlineStr">
        <is>
          <t>F5 Gross</t>
        </is>
      </c>
      <c r="G1" s="21" t="inlineStr">
        <is>
          <t>F6 Gross</t>
        </is>
      </c>
      <c r="H1" s="21" t="inlineStr">
        <is>
          <t>Avg</t>
        </is>
      </c>
      <c r="I1" s="21" t="inlineStr">
        <is>
          <t>Mejor</t>
        </is>
      </c>
    </row>
    <row r="2" ht="15" customHeight="1" s="22">
      <c r="A2" s="28" t="inlineStr">
        <is>
          <t>Gonzalez, Agus</t>
        </is>
      </c>
      <c r="B2" s="28" t="inlineStr">
        <is>
          <t>GRIS</t>
        </is>
      </c>
      <c r="C2" s="29">
        <f>IFERROR(INDEX('F1'!U:U, MATCH(A2, 'F1'!A:A, 0)), "")</f>
        <v/>
      </c>
      <c r="D2" s="29">
        <f>IFERROR(INDEX('F2'!U:U, MATCH(A2, 'F2'!A:A, 0)), "")</f>
        <v/>
      </c>
      <c r="E2" s="29">
        <f>IFERROR(INDEX('F3'!U:U, MATCH(A2, 'F3'!A:A, 0)), "")</f>
        <v/>
      </c>
      <c r="F2" s="21">
        <f>IFERROR(INDEX('F5'!U:U, MATCH(A2, 'F5'!A:A, 0)), "")</f>
        <v/>
      </c>
      <c r="G2" s="21">
        <f>IFERROR(INDEX('F6'!U:U, MATCH(A2, 'F6'!A:A, 0)), "")</f>
        <v/>
      </c>
      <c r="H2" s="21">
        <f>IFERROR(AVERAGE(C2:G2), "")</f>
        <v/>
      </c>
      <c r="I2" s="21">
        <f>IFERROR(MIN(C2:G2), "")</f>
        <v/>
      </c>
    </row>
    <row r="3" ht="15" customHeight="1" s="22">
      <c r="A3" s="28" t="inlineStr">
        <is>
          <t>Tarasido, Gonzalo</t>
        </is>
      </c>
      <c r="B3" s="28" t="inlineStr">
        <is>
          <t>GRIS</t>
        </is>
      </c>
      <c r="C3" s="29">
        <f>IFERROR(INDEX('F1'!U:U, MATCH(A3, 'F1'!A:A, 0)), "")</f>
        <v/>
      </c>
      <c r="D3" s="29">
        <f>IFERROR(INDEX('F2'!U:U, MATCH(A3, 'F2'!A:A, 0)), "")</f>
        <v/>
      </c>
      <c r="E3" s="29">
        <f>IFERROR(INDEX('F3'!U:U, MATCH(A3, 'F3'!A:A, 0)), "")</f>
        <v/>
      </c>
      <c r="F3" s="21">
        <f>IFERROR(INDEX('F5'!U:U, MATCH(A3, 'F5'!A:A, 0)), "")</f>
        <v/>
      </c>
      <c r="G3" s="21">
        <f>IFERROR(INDEX('F6'!U:U, MATCH(A3, 'F6'!A:A, 0)), "")</f>
        <v/>
      </c>
      <c r="H3" s="21">
        <f>IFERROR(AVERAGE(C3:G3), "")</f>
        <v/>
      </c>
      <c r="I3" s="21">
        <f>IFERROR(MIN(C3:G3), "")</f>
        <v/>
      </c>
    </row>
    <row r="4" ht="15" customHeight="1" s="22">
      <c r="A4" s="28" t="inlineStr">
        <is>
          <t>Zunino, Javi</t>
        </is>
      </c>
      <c r="B4" s="28" t="inlineStr">
        <is>
          <t>GRIS</t>
        </is>
      </c>
      <c r="C4" s="29">
        <f>IFERROR(INDEX('F1'!U:U, MATCH(A4, 'F1'!A:A, 0)), "")</f>
        <v/>
      </c>
      <c r="D4" s="29">
        <f>IFERROR(INDEX('F2'!U:U, MATCH(A4, 'F2'!A:A, 0)), "")</f>
        <v/>
      </c>
      <c r="E4" s="29">
        <f>IFERROR(INDEX('F3'!U:U, MATCH(A4, 'F3'!A:A, 0)), "")</f>
        <v/>
      </c>
      <c r="F4" s="21">
        <f>IFERROR(INDEX('F5'!U:U, MATCH(A4, 'F5'!A:A, 0)), "")</f>
        <v/>
      </c>
      <c r="G4" s="21">
        <f>IFERROR(INDEX('F6'!U:U, MATCH(A4, 'F6'!A:A, 0)), "")</f>
        <v/>
      </c>
      <c r="H4" s="21">
        <f>IFERROR(AVERAGE(C4:G4), "")</f>
        <v/>
      </c>
      <c r="I4" s="21">
        <f>IFERROR(MIN(C4:G4), "")</f>
        <v/>
      </c>
    </row>
    <row r="5" ht="15" customHeight="1" s="22">
      <c r="A5" s="28" t="inlineStr">
        <is>
          <t>Basaldua, Ignacio</t>
        </is>
      </c>
      <c r="B5" s="28" t="inlineStr">
        <is>
          <t>GRIS</t>
        </is>
      </c>
      <c r="C5" s="29">
        <f>IFERROR(INDEX('F1'!U:U, MATCH(A5, 'F1'!A:A, 0)), "")</f>
        <v/>
      </c>
      <c r="D5" s="29">
        <f>IFERROR(INDEX('F2'!U:U, MATCH(A5, 'F2'!A:A, 0)), "")</f>
        <v/>
      </c>
      <c r="E5" s="29">
        <f>IFERROR(INDEX('F3'!U:U, MATCH(A5, 'F3'!A:A, 0)), "")</f>
        <v/>
      </c>
      <c r="F5" s="21">
        <f>IFERROR(INDEX('F5'!U:U, MATCH(A5, 'F5'!A:A, 0)), "")</f>
        <v/>
      </c>
      <c r="G5" s="21">
        <f>IFERROR(INDEX('F6'!U:U, MATCH(A5, 'F6'!A:A, 0)), "")</f>
        <v/>
      </c>
      <c r="H5" s="21">
        <f>IFERROR(AVERAGE(C5:G5), "")</f>
        <v/>
      </c>
      <c r="I5" s="21">
        <f>IFERROR(MIN(C5:G5), "")</f>
        <v/>
      </c>
    </row>
    <row r="6" ht="15" customHeight="1" s="22">
      <c r="A6" s="28" t="inlineStr">
        <is>
          <t>Pannullo, Tincho</t>
        </is>
      </c>
      <c r="B6" s="28" t="inlineStr">
        <is>
          <t>GRIS</t>
        </is>
      </c>
      <c r="C6" s="29">
        <f>IFERROR(INDEX('F1'!U:U, MATCH(A6, 'F1'!A:A, 0)), "")</f>
        <v/>
      </c>
      <c r="D6" s="29">
        <f>IFERROR(INDEX('F2'!U:U, MATCH(A6, 'F2'!A:A, 0)), "")</f>
        <v/>
      </c>
      <c r="E6" s="29">
        <f>IFERROR(INDEX('F3'!U:U, MATCH(A6, 'F3'!A:A, 0)), "")</f>
        <v/>
      </c>
      <c r="F6" s="21">
        <f>IFERROR(INDEX('F5'!U:U, MATCH(A6, 'F5'!A:A, 0)), "")</f>
        <v/>
      </c>
      <c r="G6" s="21">
        <f>IFERROR(INDEX('F6'!U:U, MATCH(A6, 'F6'!A:A, 0)), "")</f>
        <v/>
      </c>
      <c r="H6" s="21">
        <f>IFERROR(AVERAGE(C6:G6), "")</f>
        <v/>
      </c>
      <c r="I6" s="21">
        <f>IFERROR(MIN(C6:G6), "")</f>
        <v/>
      </c>
    </row>
    <row r="7" ht="15" customHeight="1" s="22">
      <c r="A7" s="28" t="inlineStr">
        <is>
          <t>Benegas, Pancho</t>
        </is>
      </c>
      <c r="B7" s="28" t="inlineStr">
        <is>
          <t>GRIS</t>
        </is>
      </c>
      <c r="C7" s="29">
        <f>IFERROR(INDEX('F1'!U:U, MATCH(A7, 'F1'!A:A, 0)), "")</f>
        <v/>
      </c>
      <c r="D7" s="29">
        <f>IFERROR(INDEX('F2'!U:U, MATCH(A7, 'F2'!A:A, 0)), "")</f>
        <v/>
      </c>
      <c r="E7" s="29">
        <f>IFERROR(INDEX('F3'!U:U, MATCH(A7, 'F3'!A:A, 0)), "")</f>
        <v/>
      </c>
      <c r="F7" s="21">
        <f>IFERROR(INDEX('F5'!U:U, MATCH(A7, 'F5'!A:A, 0)), "")</f>
        <v/>
      </c>
      <c r="G7" s="21">
        <f>IFERROR(INDEX('F6'!U:U, MATCH(A7, 'F6'!A:A, 0)), "")</f>
        <v/>
      </c>
      <c r="H7" s="21">
        <f>IFERROR(AVERAGE(C7:G7), "")</f>
        <v/>
      </c>
      <c r="I7" s="21">
        <f>IFERROR(MIN(C7:G7), "")</f>
        <v/>
      </c>
    </row>
    <row r="8" ht="15" customHeight="1" s="22">
      <c r="A8" s="28" t="inlineStr">
        <is>
          <t>Guevara, Franki</t>
        </is>
      </c>
      <c r="B8" s="28" t="inlineStr">
        <is>
          <t>GRIS</t>
        </is>
      </c>
      <c r="C8" s="29">
        <f>IFERROR(INDEX('F1'!U:U, MATCH(A8, 'F1'!A:A, 0)), "")</f>
        <v/>
      </c>
      <c r="D8" s="29">
        <f>IFERROR(INDEX('F2'!U:U, MATCH(A8, 'F2'!A:A, 0)), "")</f>
        <v/>
      </c>
      <c r="E8" s="29">
        <f>IFERROR(INDEX('F3'!U:U, MATCH(A8, 'F3'!A:A, 0)), "")</f>
        <v/>
      </c>
      <c r="F8" s="21">
        <f>IFERROR(INDEX('F5'!U:U, MATCH(A8, 'F5'!A:A, 0)), "")</f>
        <v/>
      </c>
      <c r="G8" s="21">
        <f>IFERROR(INDEX('F6'!U:U, MATCH(A8, 'F6'!A:A, 0)), "")</f>
        <v/>
      </c>
      <c r="H8" s="21">
        <f>IFERROR(AVERAGE(C8:G8), "")</f>
        <v/>
      </c>
      <c r="I8" s="21">
        <f>IFERROR(MIN(C8:G8), "")</f>
        <v/>
      </c>
    </row>
    <row r="9" ht="15" customHeight="1" s="22">
      <c r="A9" s="28" t="inlineStr">
        <is>
          <t>Dipaola, Martin</t>
        </is>
      </c>
      <c r="B9" s="28" t="inlineStr">
        <is>
          <t>GRIS</t>
        </is>
      </c>
      <c r="C9" s="29">
        <f>IFERROR(INDEX('F1'!U:U, MATCH(A9, 'F1'!A:A, 0)), "")</f>
        <v/>
      </c>
      <c r="D9" s="29">
        <f>IFERROR(INDEX('F2'!U:U, MATCH(A9, 'F2'!A:A, 0)), "")</f>
        <v/>
      </c>
      <c r="E9" s="29">
        <f>IFERROR(INDEX('F3'!U:U, MATCH(A9, 'F3'!A:A, 0)), "")</f>
        <v/>
      </c>
      <c r="F9" s="21">
        <f>IFERROR(INDEX('F5'!U:U, MATCH(A9, 'F5'!A:A, 0)), "")</f>
        <v/>
      </c>
      <c r="G9" s="21">
        <f>IFERROR(INDEX('F6'!U:U, MATCH(A9, 'F6'!A:A, 0)), "")</f>
        <v/>
      </c>
      <c r="H9" s="21">
        <f>IFERROR(AVERAGE(C9:G9), "")</f>
        <v/>
      </c>
      <c r="I9" s="21">
        <f>IFERROR(MIN(C9:G9), "")</f>
        <v/>
      </c>
    </row>
    <row r="10" ht="15" customHeight="1" s="22">
      <c r="A10" s="28" t="inlineStr">
        <is>
          <t>Gatto, Mariano</t>
        </is>
      </c>
      <c r="B10" s="28" t="inlineStr">
        <is>
          <t>ROJO</t>
        </is>
      </c>
      <c r="C10" s="29">
        <f>IFERROR(INDEX('F1'!U:U, MATCH(A10, 'F1'!A:A, 0)), "")</f>
        <v/>
      </c>
      <c r="D10" s="29">
        <f>IFERROR(INDEX('F2'!U:U, MATCH(A10, 'F2'!A:A, 0)), "")</f>
        <v/>
      </c>
      <c r="E10" s="29">
        <f>IFERROR(INDEX('F3'!U:U, MATCH(A10, 'F3'!A:A, 0)), "")</f>
        <v/>
      </c>
      <c r="F10" s="21">
        <f>IFERROR(INDEX('F5'!U:U, MATCH(A10, 'F5'!A:A, 0)), "")</f>
        <v/>
      </c>
      <c r="G10" s="21">
        <f>IFERROR(INDEX('F6'!U:U, MATCH(A10, 'F6'!A:A, 0)), "")</f>
        <v/>
      </c>
      <c r="H10" s="21">
        <f>IFERROR(AVERAGE(C10:G10), "")</f>
        <v/>
      </c>
      <c r="I10" s="21">
        <f>IFERROR(MIN(C10:G10), "")</f>
        <v/>
      </c>
    </row>
    <row r="11" ht="15" customHeight="1" s="22">
      <c r="A11" s="28" t="inlineStr">
        <is>
          <t>Elizalde, Juancho</t>
        </is>
      </c>
      <c r="B11" s="28" t="inlineStr">
        <is>
          <t>ROJO</t>
        </is>
      </c>
      <c r="C11" s="29">
        <f>IFERROR(INDEX('F1'!U:U, MATCH(A11, 'F1'!A:A, 0)), "")</f>
        <v/>
      </c>
      <c r="D11" s="29">
        <f>IFERROR(INDEX('F2'!U:U, MATCH(A11, 'F2'!A:A, 0)), "")</f>
        <v/>
      </c>
      <c r="E11" s="29">
        <f>IFERROR(INDEX('F3'!U:U, MATCH(A11, 'F3'!A:A, 0)), "")</f>
        <v/>
      </c>
      <c r="F11" s="21">
        <f>IFERROR(INDEX('F5'!U:U, MATCH(A11, 'F5'!A:A, 0)), "")</f>
        <v/>
      </c>
      <c r="G11" s="21">
        <f>IFERROR(INDEX('F6'!U:U, MATCH(A11, 'F6'!A:A, 0)), "")</f>
        <v/>
      </c>
      <c r="H11" s="21">
        <f>IFERROR(AVERAGE(C11:G11), "")</f>
        <v/>
      </c>
      <c r="I11" s="21">
        <f>IFERROR(MIN(C11:G11), "")</f>
        <v/>
      </c>
    </row>
    <row r="12" ht="15" customHeight="1" s="22">
      <c r="A12" s="28" t="inlineStr">
        <is>
          <t>Canónico, Agus</t>
        </is>
      </c>
      <c r="B12" s="28" t="inlineStr">
        <is>
          <t>ROJO</t>
        </is>
      </c>
      <c r="C12" s="29">
        <f>IFERROR(INDEX('F1'!U:U, MATCH(A12, 'F1'!A:A, 0)), "")</f>
        <v/>
      </c>
      <c r="D12" s="29">
        <f>IFERROR(INDEX('F2'!U:U, MATCH(A12, 'F2'!A:A, 0)), "")</f>
        <v/>
      </c>
      <c r="E12" s="29">
        <f>IFERROR(INDEX('F3'!U:U, MATCH(A12, 'F3'!A:A, 0)), "")</f>
        <v/>
      </c>
      <c r="F12" s="21">
        <f>IFERROR(INDEX('F5'!U:U, MATCH(A12, 'F5'!A:A, 0)), "")</f>
        <v/>
      </c>
      <c r="G12" s="21">
        <f>IFERROR(INDEX('F6'!U:U, MATCH(A12, 'F6'!A:A, 0)), "")</f>
        <v/>
      </c>
      <c r="H12" s="21">
        <f>IFERROR(AVERAGE(C12:G12), "")</f>
        <v/>
      </c>
      <c r="I12" s="21">
        <f>IFERROR(MIN(C12:G12), "")</f>
        <v/>
      </c>
    </row>
    <row r="13" ht="15" customHeight="1" s="22">
      <c r="A13" s="28" t="inlineStr">
        <is>
          <t>Vogelius, Nico</t>
        </is>
      </c>
      <c r="B13" s="28" t="inlineStr">
        <is>
          <t>ROJO</t>
        </is>
      </c>
      <c r="C13" s="29">
        <f>IFERROR(INDEX('F1'!U:U, MATCH(A13, 'F1'!A:A, 0)), "")</f>
        <v/>
      </c>
      <c r="D13" s="29">
        <f>IFERROR(INDEX('F2'!U:U, MATCH(A13, 'F2'!A:A, 0)), "")</f>
        <v/>
      </c>
      <c r="E13" s="29">
        <f>IFERROR(INDEX('F3'!U:U, MATCH(A13, 'F3'!A:A, 0)), "")</f>
        <v/>
      </c>
      <c r="F13" s="21">
        <f>IFERROR(INDEX('F5'!U:U, MATCH(A13, 'F5'!A:A, 0)), "")</f>
        <v/>
      </c>
      <c r="G13" s="21">
        <f>IFERROR(INDEX('F6'!U:U, MATCH(A13, 'F6'!A:A, 0)), "")</f>
        <v/>
      </c>
      <c r="H13" s="21">
        <f>IFERROR(AVERAGE(C13:G13), "")</f>
        <v/>
      </c>
      <c r="I13" s="21">
        <f>IFERROR(MIN(C13:G13), "")</f>
        <v/>
      </c>
    </row>
    <row r="14" ht="15" customHeight="1" s="22">
      <c r="A14" s="28" t="inlineStr">
        <is>
          <t>Mendez, Pato</t>
        </is>
      </c>
      <c r="B14" s="28" t="inlineStr">
        <is>
          <t>ROJO</t>
        </is>
      </c>
      <c r="C14" s="29">
        <f>IFERROR(INDEX('F1'!U:U, MATCH(A14, 'F1'!A:A, 0)), "")</f>
        <v/>
      </c>
      <c r="D14" s="29">
        <f>IFERROR(INDEX('F2'!U:U, MATCH(A14, 'F2'!A:A, 0)), "")</f>
        <v/>
      </c>
      <c r="E14" s="29">
        <f>IFERROR(INDEX('F3'!U:U, MATCH(A14, 'F3'!A:A, 0)), "")</f>
        <v/>
      </c>
      <c r="F14" s="21">
        <f>IFERROR(INDEX('F5'!U:U, MATCH(A14, 'F5'!A:A, 0)), "")</f>
        <v/>
      </c>
      <c r="G14" s="21">
        <f>IFERROR(INDEX('F6'!U:U, MATCH(A14, 'F6'!A:A, 0)), "")</f>
        <v/>
      </c>
      <c r="H14" s="21">
        <f>IFERROR(AVERAGE(C14:G14), "")</f>
        <v/>
      </c>
      <c r="I14" s="21">
        <f>IFERROR(MIN(C14:G14), "")</f>
        <v/>
      </c>
    </row>
    <row r="15" ht="15" customHeight="1" s="22">
      <c r="A15" s="28" t="inlineStr">
        <is>
          <t>Molinario, Andy</t>
        </is>
      </c>
      <c r="B15" s="28" t="inlineStr">
        <is>
          <t>ROJO</t>
        </is>
      </c>
      <c r="C15" s="29">
        <f>IFERROR(INDEX('F1'!U:U, MATCH(A15, 'F1'!A:A, 0)), "")</f>
        <v/>
      </c>
      <c r="D15" s="29">
        <f>IFERROR(INDEX('F2'!U:U, MATCH(A15, 'F2'!A:A, 0)), "")</f>
        <v/>
      </c>
      <c r="E15" s="29">
        <f>IFERROR(INDEX('F3'!U:U, MATCH(A15, 'F3'!A:A, 0)), "")</f>
        <v/>
      </c>
      <c r="F15" s="21">
        <f>IFERROR(INDEX('F5'!U:U, MATCH(A15, 'F5'!A:A, 0)), "")</f>
        <v/>
      </c>
      <c r="G15" s="21">
        <f>IFERROR(INDEX('F6'!U:U, MATCH(A15, 'F6'!A:A, 0)), "")</f>
        <v/>
      </c>
      <c r="H15" s="21">
        <f>IFERROR(AVERAGE(C15:G15), "")</f>
        <v/>
      </c>
      <c r="I15" s="21">
        <f>IFERROR(MIN(C15:G15), "")</f>
        <v/>
      </c>
    </row>
    <row r="16" ht="15" customHeight="1" s="22">
      <c r="A16" s="28" t="inlineStr">
        <is>
          <t>Scapparone, Nico</t>
        </is>
      </c>
      <c r="B16" s="28" t="inlineStr">
        <is>
          <t>ROJO</t>
        </is>
      </c>
      <c r="C16" s="29">
        <f>IFERROR(INDEX('F1'!U:U, MATCH(A16, 'F1'!A:A, 0)), "")</f>
        <v/>
      </c>
      <c r="D16" s="29">
        <f>IFERROR(INDEX('F2'!U:U, MATCH(A16, 'F2'!A:A, 0)), "")</f>
        <v/>
      </c>
      <c r="E16" s="29">
        <f>IFERROR(INDEX('F3'!U:U, MATCH(A16, 'F3'!A:A, 0)), "")</f>
        <v/>
      </c>
      <c r="F16" s="21">
        <f>IFERROR(INDEX('F5'!U:U, MATCH(A16, 'F5'!A:A, 0)), "")</f>
        <v/>
      </c>
      <c r="G16" s="21">
        <f>IFERROR(INDEX('F6'!U:U, MATCH(A16, 'F6'!A:A, 0)), "")</f>
        <v/>
      </c>
      <c r="H16" s="21">
        <f>IFERROR(AVERAGE(C16:G16), "")</f>
        <v/>
      </c>
      <c r="I16" s="21">
        <f>IFERROR(MIN(C16:G16), "")</f>
        <v/>
      </c>
    </row>
    <row r="17" ht="15" customHeight="1" s="22">
      <c r="A17" s="28" t="inlineStr">
        <is>
          <t>Fernandez, Lucas</t>
        </is>
      </c>
      <c r="B17" s="28" t="inlineStr">
        <is>
          <t>ROJO</t>
        </is>
      </c>
      <c r="C17" s="29">
        <f>IFERROR(INDEX('F1'!U:U, MATCH(A17, 'F1'!A:A, 0)), "")</f>
        <v/>
      </c>
      <c r="D17" s="29">
        <f>IFERROR(INDEX('F2'!U:U, MATCH(A17, 'F2'!A:A, 0)), "")</f>
        <v/>
      </c>
      <c r="E17" s="29">
        <f>IFERROR(INDEX('F3'!U:U, MATCH(A17, 'F3'!A:A, 0)), "")</f>
        <v/>
      </c>
      <c r="F17" s="21">
        <f>IFERROR(INDEX('F5'!U:U, MATCH(A17, 'F5'!A:A, 0)), "")</f>
        <v/>
      </c>
      <c r="G17" s="21">
        <f>IFERROR(INDEX('F6'!U:U, MATCH(A17, 'F6'!A:A, 0)), "")</f>
        <v/>
      </c>
      <c r="H17" s="21">
        <f>IFERROR(AVERAGE(C17:G17), "")</f>
        <v/>
      </c>
      <c r="I17" s="21">
        <f>IFERROR(MIN(C17:G17), "")</f>
        <v/>
      </c>
    </row>
    <row r="18" ht="15" customHeight="1" s="22">
      <c r="A18" s="31" t="inlineStr">
        <is>
          <t>Gatto, Alejandro</t>
        </is>
      </c>
      <c r="B18" s="31" t="inlineStr">
        <is>
          <t>—</t>
        </is>
      </c>
      <c r="C18" s="32">
        <f>IFERROR(INDEX('F1'!U:U, MATCH(A18, 'F1'!A:A, 0)), "")</f>
        <v/>
      </c>
      <c r="D18" s="32">
        <f>IFERROR(INDEX('F2'!U:U, MATCH(A18, 'F2'!A:A, 0)), "")</f>
        <v/>
      </c>
      <c r="E18" s="32">
        <f>IFERROR(INDEX('F3'!U:U, MATCH(A18, 'F3'!A:A, 0)), "")</f>
        <v/>
      </c>
      <c r="F18" s="21">
        <f>IFERROR(INDEX('F5'!U:U, MATCH(A18, 'F5'!A:A, 0)), "")</f>
        <v/>
      </c>
      <c r="G18" s="21">
        <f>IFERROR(INDEX('F6'!U:U, MATCH(A18, 'F6'!A:A, 0)), "")</f>
        <v/>
      </c>
      <c r="H18" s="21">
        <f>IFERROR(AVERAGE(C18:G18), "")</f>
        <v/>
      </c>
      <c r="I18" s="21">
        <f>IFERROR(MIN(C18:G18), 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0" zeroHeight="0" outlineLevelRow="0"/>
  <cols>
    <col width="16" customWidth="1" style="21" min="1" max="4"/>
  </cols>
  <sheetData>
    <row r="1" ht="15" customHeight="1" s="22">
      <c r="A1" s="27" t="inlineStr">
        <is>
          <t>Posición</t>
        </is>
      </c>
      <c r="B1" s="27" t="inlineStr">
        <is>
          <t>Pts base</t>
        </is>
      </c>
      <c r="C1" s="27" t="inlineStr">
        <is>
          <t>Mult F9 (×1.5)</t>
        </is>
      </c>
      <c r="D1" s="27" t="inlineStr">
        <is>
          <t>Mult F10 (×2)</t>
        </is>
      </c>
    </row>
    <row r="2" ht="15" customHeight="1" s="22">
      <c r="A2" s="29" t="n">
        <v>1</v>
      </c>
      <c r="B2" s="29" t="n">
        <v>500</v>
      </c>
      <c r="C2" s="29" t="n">
        <v>750</v>
      </c>
      <c r="D2" s="29" t="n">
        <v>1000</v>
      </c>
    </row>
    <row r="3" ht="15" customHeight="1" s="22">
      <c r="A3" s="29" t="n">
        <v>2</v>
      </c>
      <c r="B3" s="29" t="n">
        <v>300</v>
      </c>
      <c r="C3" s="29" t="n">
        <v>450</v>
      </c>
      <c r="D3" s="29" t="n">
        <v>600</v>
      </c>
    </row>
    <row r="4" ht="15" customHeight="1" s="22">
      <c r="A4" s="29" t="n">
        <v>3</v>
      </c>
      <c r="B4" s="29" t="n">
        <v>200</v>
      </c>
      <c r="C4" s="29" t="n">
        <v>300</v>
      </c>
      <c r="D4" s="29" t="n">
        <v>400</v>
      </c>
    </row>
    <row r="5" ht="15" customHeight="1" s="22">
      <c r="A5" s="29" t="n">
        <v>4</v>
      </c>
      <c r="B5" s="29" t="n">
        <v>150</v>
      </c>
      <c r="C5" s="29" t="n">
        <v>225</v>
      </c>
      <c r="D5" s="29" t="n">
        <v>300</v>
      </c>
    </row>
    <row r="6" ht="15" customHeight="1" s="22">
      <c r="A6" s="29" t="n">
        <v>5</v>
      </c>
      <c r="B6" s="29" t="n">
        <v>120</v>
      </c>
      <c r="C6" s="29" t="n">
        <v>180</v>
      </c>
      <c r="D6" s="29" t="n">
        <v>240</v>
      </c>
    </row>
    <row r="7" ht="15" customHeight="1" s="22">
      <c r="A7" s="29" t="n">
        <v>6</v>
      </c>
      <c r="B7" s="29" t="n">
        <v>100</v>
      </c>
      <c r="C7" s="29" t="n">
        <v>150</v>
      </c>
      <c r="D7" s="29" t="n">
        <v>200</v>
      </c>
    </row>
    <row r="8" ht="15" customHeight="1" s="22">
      <c r="A8" s="29" t="n">
        <v>7</v>
      </c>
      <c r="B8" s="29" t="n">
        <v>90</v>
      </c>
      <c r="C8" s="29" t="n">
        <v>135</v>
      </c>
      <c r="D8" s="29" t="n">
        <v>180</v>
      </c>
    </row>
    <row r="9" ht="15" customHeight="1" s="22">
      <c r="A9" s="29" t="n">
        <v>8</v>
      </c>
      <c r="B9" s="29" t="n">
        <v>80</v>
      </c>
      <c r="C9" s="29" t="n">
        <v>120</v>
      </c>
      <c r="D9" s="29" t="n">
        <v>160</v>
      </c>
    </row>
    <row r="10" ht="15" customHeight="1" s="22">
      <c r="A10" s="29" t="n">
        <v>9</v>
      </c>
      <c r="B10" s="29" t="n">
        <v>75</v>
      </c>
      <c r="C10" s="29" t="n">
        <v>112.5</v>
      </c>
      <c r="D10" s="29" t="n">
        <v>150</v>
      </c>
    </row>
    <row r="11" ht="15" customHeight="1" s="22">
      <c r="A11" s="29" t="n">
        <v>10</v>
      </c>
      <c r="B11" s="29" t="n">
        <v>70</v>
      </c>
      <c r="C11" s="29" t="n">
        <v>105</v>
      </c>
      <c r="D11" s="29" t="n">
        <v>140</v>
      </c>
    </row>
    <row r="12" ht="15" customHeight="1" s="22">
      <c r="A12" s="29" t="n">
        <v>11</v>
      </c>
      <c r="B12" s="29" t="n">
        <v>20</v>
      </c>
      <c r="C12" s="29" t="n">
        <v>30</v>
      </c>
      <c r="D12" s="29" t="n">
        <v>40</v>
      </c>
    </row>
    <row r="13" ht="15" customHeight="1" s="22">
      <c r="A13" s="29" t="n">
        <v>12</v>
      </c>
      <c r="B13" s="29" t="n">
        <v>20</v>
      </c>
      <c r="C13" s="29" t="n">
        <v>30</v>
      </c>
      <c r="D13" s="29" t="n">
        <v>40</v>
      </c>
    </row>
    <row r="14" ht="15" customHeight="1" s="22">
      <c r="A14" s="29" t="n">
        <v>13</v>
      </c>
      <c r="B14" s="29" t="n">
        <v>20</v>
      </c>
      <c r="C14" s="29" t="n">
        <v>30</v>
      </c>
      <c r="D14" s="29" t="n">
        <v>40</v>
      </c>
    </row>
    <row r="15" ht="15" customHeight="1" s="22">
      <c r="A15" s="29" t="n">
        <v>14</v>
      </c>
      <c r="B15" s="29" t="n">
        <v>20</v>
      </c>
      <c r="C15" s="29" t="n">
        <v>30</v>
      </c>
      <c r="D15" s="29" t="n">
        <v>40</v>
      </c>
    </row>
    <row r="16" ht="15" customHeight="1" s="22">
      <c r="A16" s="29" t="n">
        <v>15</v>
      </c>
      <c r="B16" s="29" t="n">
        <v>0</v>
      </c>
      <c r="C16" s="29" t="n">
        <v>0</v>
      </c>
      <c r="D16" s="29" t="n">
        <v>0</v>
      </c>
    </row>
    <row r="17" ht="15" customHeight="1" s="22">
      <c r="A17" s="29" t="n">
        <v>16</v>
      </c>
      <c r="B17" s="29" t="n">
        <v>0</v>
      </c>
      <c r="C17" s="29" t="n">
        <v>0</v>
      </c>
      <c r="D17" s="29" t="n">
        <v>0</v>
      </c>
    </row>
    <row r="20" ht="15" customHeight="1" s="22">
      <c r="A20" s="24" t="inlineStr">
        <is>
          <t>Nota: F1-F8 multiplicador = 1. F9 = 1.5. F10 = 2.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Q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83203125" defaultRowHeight="15" customHeight="0" zeroHeight="0" outlineLevelRow="0"/>
  <cols>
    <col width="24" customWidth="1" style="21" min="1" max="1"/>
    <col width="8" customWidth="1" style="21" min="2" max="2"/>
    <col width="10" customWidth="1" style="21" min="3" max="11"/>
  </cols>
  <sheetData>
    <row r="1" ht="21.75" customHeight="1" s="22">
      <c r="A1" s="27" t="inlineStr">
        <is>
          <t>Jugador</t>
        </is>
      </c>
      <c r="B1" s="27" t="inlineStr">
        <is>
          <t>Equipo</t>
        </is>
      </c>
      <c r="C1" s="27" t="inlineStr">
        <is>
          <t>F1 Neto</t>
        </is>
      </c>
      <c r="D1" s="27" t="inlineStr">
        <is>
          <t>F1 Pos</t>
        </is>
      </c>
      <c r="E1" s="27" t="inlineStr">
        <is>
          <t>F1 Pts</t>
        </is>
      </c>
      <c r="F1" s="27" t="inlineStr">
        <is>
          <t>F2 Neto</t>
        </is>
      </c>
      <c r="G1" s="27" t="inlineStr">
        <is>
          <t>F2 Pos</t>
        </is>
      </c>
      <c r="H1" s="27" t="inlineStr">
        <is>
          <t>F2 Pts</t>
        </is>
      </c>
      <c r="I1" s="27" t="inlineStr">
        <is>
          <t>F3 Neto</t>
        </is>
      </c>
      <c r="J1" s="27" t="inlineStr">
        <is>
          <t>F3 Pos</t>
        </is>
      </c>
      <c r="K1" s="27" t="inlineStr">
        <is>
          <t>F3 Pts</t>
        </is>
      </c>
      <c r="L1" s="21" t="inlineStr">
        <is>
          <t>F5 Neto</t>
        </is>
      </c>
      <c r="M1" s="21" t="inlineStr">
        <is>
          <t>F5 Pos</t>
        </is>
      </c>
      <c r="N1" s="21" t="inlineStr">
        <is>
          <t>F5 Pts</t>
        </is>
      </c>
      <c r="O1" s="21" t="inlineStr">
        <is>
          <t>F6 Neto</t>
        </is>
      </c>
      <c r="P1" s="21" t="inlineStr">
        <is>
          <t>F6 Pos</t>
        </is>
      </c>
      <c r="Q1" s="21" t="inlineStr">
        <is>
          <t>F6 Pts</t>
        </is>
      </c>
    </row>
    <row r="2" ht="15" customHeight="1" s="22">
      <c r="A2" s="28" t="inlineStr">
        <is>
          <t>Gonzalez, Agus</t>
        </is>
      </c>
      <c r="B2" s="28" t="inlineStr">
        <is>
          <t>GRIS</t>
        </is>
      </c>
      <c r="C2" s="29" t="n">
        <v>78</v>
      </c>
      <c r="D2" s="29" t="n">
        <v>11</v>
      </c>
      <c r="E2" s="29" t="n">
        <v>20</v>
      </c>
      <c r="F2" s="29" t="n"/>
      <c r="G2" s="29" t="n"/>
      <c r="H2" s="29" t="n"/>
      <c r="I2" s="29" t="n"/>
      <c r="J2" s="29" t="n"/>
      <c r="K2" s="29" t="n"/>
      <c r="L2" s="21" t="n">
        <v>83</v>
      </c>
      <c r="M2" s="21" t="n">
        <v>10</v>
      </c>
      <c r="N2" s="21" t="n">
        <v>45</v>
      </c>
      <c r="O2" s="21" t="n">
        <v>76</v>
      </c>
      <c r="P2" s="21" t="n">
        <v>3</v>
      </c>
      <c r="Q2" s="21" t="n">
        <v>156.67</v>
      </c>
    </row>
    <row r="3" ht="15" customHeight="1" s="22">
      <c r="A3" s="28" t="inlineStr">
        <is>
          <t>Tarasido, Gonzalo</t>
        </is>
      </c>
      <c r="B3" s="28" t="inlineStr">
        <is>
          <t>GRIS</t>
        </is>
      </c>
      <c r="C3" s="29" t="n">
        <v>75</v>
      </c>
      <c r="D3" s="29" t="n">
        <v>9</v>
      </c>
      <c r="E3" s="29" t="n">
        <v>72.5</v>
      </c>
      <c r="F3" s="29" t="n">
        <v>85</v>
      </c>
      <c r="G3" s="29" t="n">
        <v>11</v>
      </c>
      <c r="H3" s="29" t="n">
        <v>20</v>
      </c>
      <c r="I3" s="29" t="n">
        <v>76</v>
      </c>
      <c r="J3" s="29" t="n">
        <v>2</v>
      </c>
      <c r="K3" s="29" t="n">
        <v>300</v>
      </c>
      <c r="L3" s="21" t="n">
        <v>81</v>
      </c>
      <c r="M3" s="21" t="n">
        <v>7</v>
      </c>
      <c r="N3" s="21" t="n">
        <v>85</v>
      </c>
      <c r="O3" s="21" t="n">
        <v>77</v>
      </c>
      <c r="P3" s="21" t="n">
        <v>6</v>
      </c>
      <c r="Q3" s="21" t="n">
        <v>100</v>
      </c>
    </row>
    <row r="4" ht="15" customHeight="1" s="22">
      <c r="A4" s="28" t="inlineStr">
        <is>
          <t>Zunino, Javi</t>
        </is>
      </c>
      <c r="B4" s="28" t="inlineStr">
        <is>
          <t>GRIS</t>
        </is>
      </c>
      <c r="C4" s="29" t="n">
        <v>72</v>
      </c>
      <c r="D4" s="29" t="n">
        <v>6</v>
      </c>
      <c r="E4" s="29" t="n">
        <v>95</v>
      </c>
      <c r="F4" s="29" t="n"/>
      <c r="G4" s="29" t="n"/>
      <c r="H4" s="29" t="n"/>
      <c r="I4" s="29" t="n"/>
      <c r="J4" s="29" t="n"/>
      <c r="K4" s="29" t="n"/>
    </row>
    <row r="5" ht="15" customHeight="1" s="22">
      <c r="A5" s="28" t="inlineStr">
        <is>
          <t>Basaldua, Ignacio</t>
        </is>
      </c>
      <c r="B5" s="28" t="inlineStr">
        <is>
          <t>GRIS</t>
        </is>
      </c>
      <c r="C5" s="29" t="n">
        <v>79</v>
      </c>
      <c r="D5" s="29" t="n">
        <v>13</v>
      </c>
      <c r="E5" s="29" t="n">
        <v>20</v>
      </c>
      <c r="F5" s="29" t="n"/>
      <c r="G5" s="29" t="n"/>
      <c r="H5" s="29" t="n"/>
      <c r="I5" s="29" t="n">
        <v>78</v>
      </c>
      <c r="J5" s="29" t="n">
        <v>4</v>
      </c>
      <c r="K5" s="29" t="n">
        <v>123.33</v>
      </c>
      <c r="L5" s="21" t="n">
        <v>78</v>
      </c>
      <c r="M5" s="21" t="n">
        <v>3</v>
      </c>
      <c r="N5" s="21" t="n">
        <v>156.67</v>
      </c>
      <c r="O5" s="21" t="n">
        <v>82</v>
      </c>
      <c r="P5" s="21" t="n">
        <v>12</v>
      </c>
      <c r="Q5" s="21" t="n">
        <v>20</v>
      </c>
    </row>
    <row r="6" ht="15" customHeight="1" s="22">
      <c r="A6" s="28" t="inlineStr">
        <is>
          <t>Pannullo, Tincho</t>
        </is>
      </c>
      <c r="B6" s="28" t="inlineStr">
        <is>
          <t>GRIS</t>
        </is>
      </c>
      <c r="C6" s="29" t="n">
        <v>82</v>
      </c>
      <c r="D6" s="29" t="n">
        <v>14</v>
      </c>
      <c r="E6" s="29" t="n">
        <v>20</v>
      </c>
      <c r="F6" s="29" t="n">
        <v>77</v>
      </c>
      <c r="G6" s="29" t="n">
        <v>10</v>
      </c>
      <c r="H6" s="29" t="n">
        <v>70</v>
      </c>
      <c r="I6" s="29" t="n">
        <v>77</v>
      </c>
      <c r="J6" s="29" t="n">
        <v>3</v>
      </c>
      <c r="K6" s="29" t="n">
        <v>200</v>
      </c>
      <c r="O6" t="n">
        <v>79</v>
      </c>
      <c r="P6" t="n">
        <v>8</v>
      </c>
      <c r="Q6" t="n">
        <v>77.5</v>
      </c>
    </row>
    <row r="7" ht="15" customHeight="1" s="22">
      <c r="A7" s="28" t="inlineStr">
        <is>
          <t>Benegas, Pancho</t>
        </is>
      </c>
      <c r="B7" s="28" t="inlineStr">
        <is>
          <t>GRIS</t>
        </is>
      </c>
      <c r="C7" s="29" t="n">
        <v>92</v>
      </c>
      <c r="D7" s="29" t="n">
        <v>15</v>
      </c>
      <c r="E7" s="29" t="n">
        <v>0</v>
      </c>
      <c r="F7" s="29" t="n">
        <v>73</v>
      </c>
      <c r="G7" s="29" t="n">
        <v>4</v>
      </c>
      <c r="H7" s="29" t="n">
        <v>123.33</v>
      </c>
      <c r="I7" s="29" t="n">
        <v>78</v>
      </c>
      <c r="J7" s="29" t="n">
        <v>4</v>
      </c>
      <c r="K7" s="29" t="n">
        <v>123.33</v>
      </c>
      <c r="L7" s="21" t="n">
        <v>80</v>
      </c>
      <c r="M7" s="21" t="n">
        <v>6</v>
      </c>
      <c r="N7" s="21" t="n">
        <v>100</v>
      </c>
      <c r="O7" s="21" t="n">
        <v>69</v>
      </c>
      <c r="P7" s="21" t="n">
        <v>1</v>
      </c>
      <c r="Q7" s="21" t="n">
        <v>500</v>
      </c>
    </row>
    <row r="8" ht="15" customHeight="1" s="22">
      <c r="A8" s="28" t="inlineStr">
        <is>
          <t>Guevara, Franki</t>
        </is>
      </c>
      <c r="B8" s="28" t="inlineStr">
        <is>
          <t>GRIS</t>
        </is>
      </c>
      <c r="C8" s="29" t="n">
        <v>67</v>
      </c>
      <c r="D8" s="29" t="n">
        <v>1</v>
      </c>
      <c r="E8" s="29" t="n">
        <v>400</v>
      </c>
      <c r="F8" s="29" t="n">
        <v>75</v>
      </c>
      <c r="G8" s="29" t="n">
        <v>8</v>
      </c>
      <c r="H8" s="29" t="n">
        <v>80</v>
      </c>
      <c r="I8" s="29" t="n">
        <v>80</v>
      </c>
      <c r="J8" s="29" t="n">
        <v>8</v>
      </c>
      <c r="K8" s="29" t="n">
        <v>80</v>
      </c>
      <c r="L8" s="21" t="n">
        <v>78</v>
      </c>
      <c r="M8" s="21" t="n">
        <v>3</v>
      </c>
      <c r="N8" s="21" t="n">
        <v>156.67</v>
      </c>
      <c r="O8" s="21" t="n">
        <v>76</v>
      </c>
      <c r="P8" s="21" t="n">
        <v>3</v>
      </c>
      <c r="Q8" s="21" t="n">
        <v>156.67</v>
      </c>
    </row>
    <row r="9" ht="15" customHeight="1" s="22">
      <c r="A9" s="28" t="inlineStr">
        <is>
          <t>Dipaola, Martin</t>
        </is>
      </c>
      <c r="B9" s="28" t="inlineStr">
        <is>
          <t>GRIS</t>
        </is>
      </c>
      <c r="C9" s="29" t="n">
        <v>71</v>
      </c>
      <c r="D9" s="29" t="n">
        <v>5</v>
      </c>
      <c r="E9" s="29" t="n">
        <v>120</v>
      </c>
      <c r="F9" s="29" t="n">
        <v>73</v>
      </c>
      <c r="G9" s="29" t="n">
        <v>4</v>
      </c>
      <c r="H9" s="29" t="n">
        <v>123.33</v>
      </c>
      <c r="I9" s="29" t="n">
        <v>84</v>
      </c>
      <c r="J9" s="29" t="n">
        <v>10</v>
      </c>
      <c r="K9" s="29" t="n">
        <v>36.67</v>
      </c>
      <c r="L9" s="21" t="n">
        <v>88</v>
      </c>
      <c r="M9" s="21" t="n">
        <v>12</v>
      </c>
      <c r="N9" s="21" t="n">
        <v>20</v>
      </c>
      <c r="O9" s="21" t="n">
        <v>83</v>
      </c>
      <c r="P9" s="21" t="n">
        <v>13</v>
      </c>
      <c r="Q9" s="21" t="n">
        <v>20</v>
      </c>
    </row>
    <row r="10" ht="15" customHeight="1" s="22">
      <c r="A10" s="28" t="inlineStr">
        <is>
          <t>Gatto, Mariano</t>
        </is>
      </c>
      <c r="B10" s="28" t="inlineStr">
        <is>
          <t>ROJO</t>
        </is>
      </c>
      <c r="C10" s="29" t="n">
        <v>72</v>
      </c>
      <c r="D10" s="29" t="n">
        <v>6</v>
      </c>
      <c r="E10" s="29" t="n">
        <v>95</v>
      </c>
      <c r="F10" s="29" t="n">
        <v>66</v>
      </c>
      <c r="G10" s="29" t="n">
        <v>1</v>
      </c>
      <c r="H10" s="29" t="n">
        <v>500</v>
      </c>
      <c r="I10" s="29" t="n">
        <v>85</v>
      </c>
      <c r="J10" s="29" t="n">
        <v>13</v>
      </c>
      <c r="K10" s="29" t="n">
        <v>20</v>
      </c>
      <c r="L10" s="21" t="n">
        <v>78</v>
      </c>
      <c r="M10" s="21" t="n">
        <v>3</v>
      </c>
      <c r="N10" s="21" t="n">
        <v>156.67</v>
      </c>
      <c r="O10" s="21" t="n"/>
      <c r="P10" s="21" t="n"/>
      <c r="Q10" s="21" t="n"/>
    </row>
    <row r="11" ht="15" customHeight="1" s="22">
      <c r="A11" s="28" t="inlineStr">
        <is>
          <t>Elizalde, Juancho</t>
        </is>
      </c>
      <c r="B11" s="28" t="inlineStr">
        <is>
          <t>ROJO</t>
        </is>
      </c>
      <c r="C11" s="29" t="n">
        <v>73</v>
      </c>
      <c r="D11" s="29" t="n">
        <v>8</v>
      </c>
      <c r="E11" s="29" t="n">
        <v>80</v>
      </c>
      <c r="F11" s="29" t="n">
        <v>70</v>
      </c>
      <c r="G11" s="29" t="n">
        <v>2</v>
      </c>
      <c r="H11" s="29" t="n">
        <v>250</v>
      </c>
      <c r="I11" s="29" t="n">
        <v>79</v>
      </c>
      <c r="J11" s="29" t="n">
        <v>7</v>
      </c>
      <c r="K11" s="29" t="n">
        <v>90</v>
      </c>
      <c r="L11" s="21" t="n">
        <v>74</v>
      </c>
      <c r="M11" s="21" t="n">
        <v>1</v>
      </c>
      <c r="N11" s="21" t="n">
        <v>500</v>
      </c>
      <c r="O11" s="21" t="n">
        <v>75</v>
      </c>
      <c r="P11" s="21" t="n">
        <v>2</v>
      </c>
      <c r="Q11" s="21" t="n">
        <v>300</v>
      </c>
    </row>
    <row r="12" ht="15" customHeight="1" s="22">
      <c r="A12" s="28" t="inlineStr">
        <is>
          <t>Canónico, Agus</t>
        </is>
      </c>
      <c r="B12" s="28" t="inlineStr">
        <is>
          <t>ROJO</t>
        </is>
      </c>
      <c r="C12" s="29" t="n">
        <v>78</v>
      </c>
      <c r="D12" s="29" t="n">
        <v>11</v>
      </c>
      <c r="E12" s="29" t="n">
        <v>20</v>
      </c>
      <c r="F12" s="29" t="n">
        <v>73</v>
      </c>
      <c r="G12" s="29" t="n">
        <v>4</v>
      </c>
      <c r="H12" s="29" t="n">
        <v>123.33</v>
      </c>
      <c r="I12" s="29" t="n">
        <v>82</v>
      </c>
      <c r="J12" s="29" t="n">
        <v>9</v>
      </c>
      <c r="K12" s="29" t="n">
        <v>75</v>
      </c>
      <c r="L12" s="21" t="n">
        <v>83</v>
      </c>
      <c r="M12" s="21" t="n">
        <v>10</v>
      </c>
      <c r="N12" s="21" t="n">
        <v>45</v>
      </c>
      <c r="O12" s="21" t="n">
        <v>79</v>
      </c>
      <c r="P12" s="21" t="n">
        <v>8</v>
      </c>
      <c r="Q12" s="21" t="n">
        <v>77.5</v>
      </c>
    </row>
    <row r="13" ht="15" customHeight="1" s="22">
      <c r="A13" s="28" t="inlineStr">
        <is>
          <t>Vogelius, Nico</t>
        </is>
      </c>
      <c r="B13" s="28" t="inlineStr">
        <is>
          <t>ROJO</t>
        </is>
      </c>
      <c r="C13" s="29" t="n">
        <v>67</v>
      </c>
      <c r="D13" s="29" t="n">
        <v>1</v>
      </c>
      <c r="E13" s="29" t="n">
        <v>400</v>
      </c>
      <c r="F13" s="29" t="n">
        <v>85</v>
      </c>
      <c r="G13" s="29" t="n">
        <v>11</v>
      </c>
      <c r="H13" s="29" t="n">
        <v>20</v>
      </c>
      <c r="I13" s="29" t="n">
        <v>78</v>
      </c>
      <c r="J13" s="29" t="n">
        <v>4</v>
      </c>
      <c r="K13" s="29" t="n">
        <v>123.33</v>
      </c>
      <c r="L13" s="21" t="n">
        <v>76</v>
      </c>
      <c r="M13" s="21" t="n">
        <v>2</v>
      </c>
      <c r="N13" s="21" t="n">
        <v>300</v>
      </c>
      <c r="O13" s="21" t="n">
        <v>78</v>
      </c>
      <c r="P13" s="21" t="n">
        <v>7</v>
      </c>
      <c r="Q13" s="21" t="n">
        <v>90</v>
      </c>
    </row>
    <row r="14" ht="15" customHeight="1" s="22">
      <c r="A14" s="28" t="inlineStr">
        <is>
          <t>Mendez, Pato</t>
        </is>
      </c>
      <c r="B14" s="28" t="inlineStr">
        <is>
          <t>ROJO</t>
        </is>
      </c>
      <c r="C14" s="29" t="n">
        <v>69</v>
      </c>
      <c r="D14" s="29" t="n">
        <v>3</v>
      </c>
      <c r="E14" s="29" t="n">
        <v>175</v>
      </c>
      <c r="F14" s="29" t="n">
        <v>74</v>
      </c>
      <c r="G14" s="29" t="n">
        <v>7</v>
      </c>
      <c r="H14" s="29" t="n">
        <v>90</v>
      </c>
      <c r="I14" s="29" t="n">
        <v>85</v>
      </c>
      <c r="J14" s="29" t="n">
        <v>13</v>
      </c>
      <c r="K14" s="29" t="n">
        <v>20</v>
      </c>
      <c r="O14" t="n">
        <v>76</v>
      </c>
      <c r="P14" t="n">
        <v>3</v>
      </c>
      <c r="Q14" t="n">
        <v>156.67</v>
      </c>
    </row>
    <row r="15" ht="15" customHeight="1" s="22">
      <c r="A15" s="28" t="inlineStr">
        <is>
          <t>Molinario, Andy</t>
        </is>
      </c>
      <c r="B15" s="28" t="inlineStr">
        <is>
          <t>ROJO</t>
        </is>
      </c>
      <c r="C15" s="29" t="n">
        <v>69</v>
      </c>
      <c r="D15" s="29" t="n">
        <v>3</v>
      </c>
      <c r="E15" s="29" t="n">
        <v>175</v>
      </c>
      <c r="F15" s="29" t="n">
        <v>76</v>
      </c>
      <c r="G15" s="29" t="n">
        <v>9</v>
      </c>
      <c r="H15" s="29" t="n">
        <v>75</v>
      </c>
      <c r="I15" s="29" t="n">
        <v>84</v>
      </c>
      <c r="J15" s="29" t="n">
        <v>10</v>
      </c>
      <c r="K15" s="29" t="n">
        <v>36.67</v>
      </c>
      <c r="O15" t="n">
        <v>80</v>
      </c>
      <c r="P15" t="n">
        <v>10</v>
      </c>
      <c r="Q15" t="n">
        <v>45</v>
      </c>
    </row>
    <row r="16" ht="15" customHeight="1" s="22">
      <c r="A16" s="28" t="inlineStr">
        <is>
          <t>Scapparone, Nico</t>
        </is>
      </c>
      <c r="B16" s="28" t="inlineStr">
        <is>
          <t>ROJO</t>
        </is>
      </c>
      <c r="C16" s="29" t="n">
        <v>75</v>
      </c>
      <c r="D16" s="29" t="n">
        <v>9</v>
      </c>
      <c r="E16" s="29" t="n">
        <v>72.5</v>
      </c>
      <c r="F16" s="29" t="n"/>
      <c r="G16" s="29" t="n"/>
      <c r="H16" s="29" t="n"/>
      <c r="I16" s="29" t="n"/>
      <c r="J16" s="29" t="n"/>
      <c r="K16" s="29" t="n"/>
    </row>
    <row r="17" ht="15" customHeight="1" s="22">
      <c r="A17" s="28" t="inlineStr">
        <is>
          <t>Fernandez, Lucas</t>
        </is>
      </c>
      <c r="B17" s="28" t="inlineStr">
        <is>
          <t>ROJO</t>
        </is>
      </c>
      <c r="C17" s="29" t="n"/>
      <c r="D17" s="29" t="n"/>
      <c r="E17" s="29" t="n"/>
      <c r="F17" s="29" t="n">
        <v>70</v>
      </c>
      <c r="G17" s="29" t="n">
        <v>2</v>
      </c>
      <c r="H17" s="29" t="n">
        <v>250</v>
      </c>
      <c r="I17" s="29" t="n">
        <v>69</v>
      </c>
      <c r="J17" s="29" t="n">
        <v>1</v>
      </c>
      <c r="K17" s="29" t="n">
        <v>500</v>
      </c>
      <c r="O17" t="n">
        <v>80</v>
      </c>
      <c r="P17" t="n">
        <v>10</v>
      </c>
      <c r="Q17" t="n">
        <v>45</v>
      </c>
    </row>
    <row r="18" ht="15" customHeight="1" s="22">
      <c r="A18" s="31" t="inlineStr">
        <is>
          <t>Gatto, Alejandro</t>
        </is>
      </c>
      <c r="B18" s="31" t="inlineStr">
        <is>
          <t>—</t>
        </is>
      </c>
      <c r="C18" s="32" t="n">
        <v>97</v>
      </c>
      <c r="D18" s="32" t="n">
        <v>16</v>
      </c>
      <c r="E18" s="32" t="n">
        <v>0</v>
      </c>
      <c r="F18" s="32" t="n">
        <v>89</v>
      </c>
      <c r="G18" s="32" t="n">
        <v>13</v>
      </c>
      <c r="H18" s="32" t="n">
        <v>20</v>
      </c>
      <c r="I18" s="32" t="n">
        <v>101</v>
      </c>
      <c r="J18" s="32" t="n">
        <v>15</v>
      </c>
      <c r="K18" s="32" t="n">
        <v>0</v>
      </c>
    </row>
    <row r="19" ht="15" customHeight="1" s="22">
      <c r="A19" s="31" t="inlineStr">
        <is>
          <t>Alfonso, Juan Ignacio</t>
        </is>
      </c>
      <c r="B19" s="31" t="inlineStr">
        <is>
          <t>ROJO</t>
        </is>
      </c>
      <c r="C19" s="32" t="n"/>
      <c r="D19" s="32" t="n"/>
      <c r="E19" s="32" t="n"/>
      <c r="F19" s="32" t="n"/>
      <c r="G19" s="32" t="n"/>
      <c r="H19" s="32" t="n"/>
      <c r="I19" s="32" t="n">
        <v>84</v>
      </c>
      <c r="J19" s="32" t="n">
        <v>10</v>
      </c>
      <c r="K19" s="32" t="n">
        <v>36.67</v>
      </c>
      <c r="L19" s="21" t="n">
        <v>82</v>
      </c>
      <c r="M19" s="21" t="n">
        <v>9</v>
      </c>
      <c r="N19" s="21" t="n">
        <v>75</v>
      </c>
      <c r="O19" s="21" t="n"/>
      <c r="P19" s="21" t="n"/>
      <c r="Q19" s="21" t="n"/>
    </row>
    <row r="20" ht="15" customHeight="1" s="22">
      <c r="A20" s="31" t="inlineStr">
        <is>
          <t>sup_shaw</t>
        </is>
      </c>
      <c r="B20" s="31" t="inlineStr">
        <is>
          <t>—</t>
        </is>
      </c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</row>
    <row r="21" ht="15" customHeight="1" s="22">
      <c r="A21" s="21" t="inlineStr">
        <is>
          <t>Diaz Delfino, Pablo</t>
        </is>
      </c>
      <c r="B21" s="21" t="inlineStr">
        <is>
          <t>GRIS</t>
        </is>
      </c>
      <c r="L21" s="21" t="n">
        <v>81</v>
      </c>
      <c r="M21" s="21" t="n">
        <v>7</v>
      </c>
      <c r="N21" s="21" t="n">
        <v>85</v>
      </c>
      <c r="O21" s="21" t="n"/>
      <c r="P21" s="21" t="n"/>
      <c r="Q21" s="2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83203125" defaultRowHeight="15" customHeight="0" zeroHeight="0" outlineLevelRow="0"/>
  <cols>
    <col width="24" customWidth="1" style="21" min="1" max="1"/>
    <col width="8" customWidth="1" style="21" min="2" max="2"/>
    <col width="11" customWidth="1" style="21" min="3" max="6"/>
  </cols>
  <sheetData>
    <row r="1" ht="21.75" customHeight="1" s="22">
      <c r="A1" s="27" t="inlineStr">
        <is>
          <t>Jugador</t>
        </is>
      </c>
      <c r="B1" s="27" t="inlineStr">
        <is>
          <t>Equipo</t>
        </is>
      </c>
      <c r="C1" s="27" t="inlineStr">
        <is>
          <t>F1 Pts</t>
        </is>
      </c>
      <c r="D1" s="27" t="inlineStr">
        <is>
          <t>F2 Pts</t>
        </is>
      </c>
      <c r="E1" s="27" t="inlineStr">
        <is>
          <t>F3 Pts</t>
        </is>
      </c>
      <c r="F1" s="21" t="inlineStr">
        <is>
          <t>F5 Pts</t>
        </is>
      </c>
      <c r="G1" s="21" t="inlineStr">
        <is>
          <t>F6 Pts</t>
        </is>
      </c>
      <c r="H1" s="21" t="inlineStr">
        <is>
          <t>TOTAL</t>
        </is>
      </c>
    </row>
    <row r="2" ht="15" customHeight="1" s="22">
      <c r="A2" s="28" t="inlineStr">
        <is>
          <t>Fernandez, Lucas</t>
        </is>
      </c>
      <c r="B2" s="28" t="inlineStr">
        <is>
          <t>ROJO</t>
        </is>
      </c>
      <c r="C2" s="29">
        <f>IFERROR(VLOOKUP(A2, Medal_Fechas!$A:$K, 5, FALSE()), 0)</f>
        <v/>
      </c>
      <c r="D2" s="29">
        <f>IFERROR(VLOOKUP(A2, Medal_Fechas!$A:$K, 8, FALSE()), 0)</f>
        <v/>
      </c>
      <c r="E2" s="29">
        <f>IFERROR(VLOOKUP(A2, Medal_Fechas!$A:$K, 11, FALSE()), 0)</f>
        <v/>
      </c>
      <c r="F2" s="21">
        <f>IFERROR(VLOOKUP(A2, Medal_Fechas!$A:$N, 14, FALSE()), 0)</f>
        <v/>
      </c>
      <c r="G2" s="21">
        <f>IFERROR(VLOOKUP(A2, Medal_Fechas!$A:$Q, 17, FALSE()), 0)</f>
        <v/>
      </c>
      <c r="H2" s="21">
        <f>SUM(C2:G2)</f>
        <v/>
      </c>
    </row>
    <row r="3" ht="15" customHeight="1" s="22">
      <c r="A3" s="28" t="inlineStr">
        <is>
          <t>Gatto, Mariano</t>
        </is>
      </c>
      <c r="B3" s="28" t="inlineStr">
        <is>
          <t>ROJO</t>
        </is>
      </c>
      <c r="C3" s="29">
        <f>IFERROR(VLOOKUP(A3, Medal_Fechas!$A:$K, 5, FALSE()), 0)</f>
        <v/>
      </c>
      <c r="D3" s="29">
        <f>IFERROR(VLOOKUP(A3, Medal_Fechas!$A:$K, 8, FALSE()), 0)</f>
        <v/>
      </c>
      <c r="E3" s="29">
        <f>IFERROR(VLOOKUP(A3, Medal_Fechas!$A:$K, 11, FALSE()), 0)</f>
        <v/>
      </c>
      <c r="F3" s="21">
        <f>IFERROR(VLOOKUP(A3, Medal_Fechas!$A:$N, 14, FALSE()), 0)</f>
        <v/>
      </c>
      <c r="G3" s="21">
        <f>IFERROR(VLOOKUP(A3, Medal_Fechas!$A:$Q, 17, FALSE()), 0)</f>
        <v/>
      </c>
      <c r="H3" s="21">
        <f>SUM(C3:G3)</f>
        <v/>
      </c>
    </row>
    <row r="4" ht="15" customHeight="1" s="22">
      <c r="A4" s="28" t="inlineStr">
        <is>
          <t>Guevara, Franki</t>
        </is>
      </c>
      <c r="B4" s="28" t="inlineStr">
        <is>
          <t>GRIS</t>
        </is>
      </c>
      <c r="C4" s="29">
        <f>IFERROR(VLOOKUP(A4, Medal_Fechas!$A:$K, 5, FALSE()), 0)</f>
        <v/>
      </c>
      <c r="D4" s="29">
        <f>IFERROR(VLOOKUP(A4, Medal_Fechas!$A:$K, 8, FALSE()), 0)</f>
        <v/>
      </c>
      <c r="E4" s="29">
        <f>IFERROR(VLOOKUP(A4, Medal_Fechas!$A:$K, 11, FALSE()), 0)</f>
        <v/>
      </c>
      <c r="F4" s="21">
        <f>IFERROR(VLOOKUP(A4, Medal_Fechas!$A:$N, 14, FALSE()), 0)</f>
        <v/>
      </c>
      <c r="G4" s="21">
        <f>IFERROR(VLOOKUP(A4, Medal_Fechas!$A:$Q, 17, FALSE()), 0)</f>
        <v/>
      </c>
      <c r="H4" s="21">
        <f>SUM(C4:G4)</f>
        <v/>
      </c>
    </row>
    <row r="5" ht="15" customHeight="1" s="22">
      <c r="A5" s="28" t="inlineStr">
        <is>
          <t>Vogelius, Nico</t>
        </is>
      </c>
      <c r="B5" s="28" t="inlineStr">
        <is>
          <t>ROJO</t>
        </is>
      </c>
      <c r="C5" s="29">
        <f>IFERROR(VLOOKUP(A5, Medal_Fechas!$A:$K, 5, FALSE()), 0)</f>
        <v/>
      </c>
      <c r="D5" s="29">
        <f>IFERROR(VLOOKUP(A5, Medal_Fechas!$A:$K, 8, FALSE()), 0)</f>
        <v/>
      </c>
      <c r="E5" s="29">
        <f>IFERROR(VLOOKUP(A5, Medal_Fechas!$A:$K, 11, FALSE()), 0)</f>
        <v/>
      </c>
      <c r="F5" s="21">
        <f>IFERROR(VLOOKUP(A5, Medal_Fechas!$A:$N, 14, FALSE()), 0)</f>
        <v/>
      </c>
      <c r="G5" s="21">
        <f>IFERROR(VLOOKUP(A5, Medal_Fechas!$A:$Q, 17, FALSE()), 0)</f>
        <v/>
      </c>
      <c r="H5" s="21">
        <f>SUM(C5:G5)</f>
        <v/>
      </c>
    </row>
    <row r="6" ht="15" customHeight="1" s="22">
      <c r="A6" s="28" t="inlineStr">
        <is>
          <t>Elizalde, Juancho</t>
        </is>
      </c>
      <c r="B6" s="28" t="inlineStr">
        <is>
          <t>ROJO</t>
        </is>
      </c>
      <c r="C6" s="29">
        <f>IFERROR(VLOOKUP(A6, Medal_Fechas!$A:$K, 5, FALSE()), 0)</f>
        <v/>
      </c>
      <c r="D6" s="29">
        <f>IFERROR(VLOOKUP(A6, Medal_Fechas!$A:$K, 8, FALSE()), 0)</f>
        <v/>
      </c>
      <c r="E6" s="29">
        <f>IFERROR(VLOOKUP(A6, Medal_Fechas!$A:$K, 11, FALSE()), 0)</f>
        <v/>
      </c>
      <c r="F6" s="21">
        <f>IFERROR(VLOOKUP(A6, Medal_Fechas!$A:$N, 14, FALSE()), 0)</f>
        <v/>
      </c>
      <c r="G6" s="21">
        <f>IFERROR(VLOOKUP(A6, Medal_Fechas!$A:$Q, 17, FALSE()), 0)</f>
        <v/>
      </c>
      <c r="H6" s="21">
        <f>SUM(C6:G6)</f>
        <v/>
      </c>
    </row>
    <row r="7" ht="15" customHeight="1" s="22">
      <c r="A7" s="28" t="inlineStr">
        <is>
          <t>Tarasido, Gonzalo</t>
        </is>
      </c>
      <c r="B7" s="28" t="inlineStr">
        <is>
          <t>GRIS</t>
        </is>
      </c>
      <c r="C7" s="29">
        <f>IFERROR(VLOOKUP(A7, Medal_Fechas!$A:$K, 5, FALSE()), 0)</f>
        <v/>
      </c>
      <c r="D7" s="29">
        <f>IFERROR(VLOOKUP(A7, Medal_Fechas!$A:$K, 8, FALSE()), 0)</f>
        <v/>
      </c>
      <c r="E7" s="29">
        <f>IFERROR(VLOOKUP(A7, Medal_Fechas!$A:$K, 11, FALSE()), 0)</f>
        <v/>
      </c>
      <c r="F7" s="21">
        <f>IFERROR(VLOOKUP(A7, Medal_Fechas!$A:$N, 14, FALSE()), 0)</f>
        <v/>
      </c>
      <c r="G7" s="21">
        <f>IFERROR(VLOOKUP(A7, Medal_Fechas!$A:$Q, 17, FALSE()), 0)</f>
        <v/>
      </c>
      <c r="H7" s="21">
        <f>SUM(C7:G7)</f>
        <v/>
      </c>
    </row>
    <row r="8" ht="15" customHeight="1" s="22">
      <c r="A8" s="28" t="inlineStr">
        <is>
          <t>Pannullo, Tincho</t>
        </is>
      </c>
      <c r="B8" s="28" t="inlineStr">
        <is>
          <t>GRIS</t>
        </is>
      </c>
      <c r="C8" s="29">
        <f>IFERROR(VLOOKUP(A8, Medal_Fechas!$A:$K, 5, FALSE()), 0)</f>
        <v/>
      </c>
      <c r="D8" s="29">
        <f>IFERROR(VLOOKUP(A8, Medal_Fechas!$A:$K, 8, FALSE()), 0)</f>
        <v/>
      </c>
      <c r="E8" s="29">
        <f>IFERROR(VLOOKUP(A8, Medal_Fechas!$A:$K, 11, FALSE()), 0)</f>
        <v/>
      </c>
      <c r="F8" s="21">
        <f>IFERROR(VLOOKUP(A8, Medal_Fechas!$A:$N, 14, FALSE()), 0)</f>
        <v/>
      </c>
      <c r="G8" s="21">
        <f>IFERROR(VLOOKUP(A8, Medal_Fechas!$A:$Q, 17, FALSE()), 0)</f>
        <v/>
      </c>
      <c r="H8" s="21">
        <f>SUM(C8:G8)</f>
        <v/>
      </c>
    </row>
    <row r="9" ht="15" customHeight="1" s="22">
      <c r="A9" s="28" t="inlineStr">
        <is>
          <t>Molinario, Andy</t>
        </is>
      </c>
      <c r="B9" s="28" t="inlineStr">
        <is>
          <t>ROJO</t>
        </is>
      </c>
      <c r="C9" s="29">
        <f>IFERROR(VLOOKUP(A9, Medal_Fechas!$A:$K, 5, FALSE()), 0)</f>
        <v/>
      </c>
      <c r="D9" s="29">
        <f>IFERROR(VLOOKUP(A9, Medal_Fechas!$A:$K, 8, FALSE()), 0)</f>
        <v/>
      </c>
      <c r="E9" s="29">
        <f>IFERROR(VLOOKUP(A9, Medal_Fechas!$A:$K, 11, FALSE()), 0)</f>
        <v/>
      </c>
      <c r="F9" s="21">
        <f>IFERROR(VLOOKUP(A9, Medal_Fechas!$A:$N, 14, FALSE()), 0)</f>
        <v/>
      </c>
      <c r="G9" s="21">
        <f>IFERROR(VLOOKUP(A9, Medal_Fechas!$A:$Q, 17, FALSE()), 0)</f>
        <v/>
      </c>
      <c r="H9" s="21">
        <f>SUM(C9:G9)</f>
        <v/>
      </c>
    </row>
    <row r="10" ht="15" customHeight="1" s="22">
      <c r="A10" s="28" t="inlineStr">
        <is>
          <t>Mendez, Pato</t>
        </is>
      </c>
      <c r="B10" s="28" t="inlineStr">
        <is>
          <t>ROJO</t>
        </is>
      </c>
      <c r="C10" s="29">
        <f>IFERROR(VLOOKUP(A10, Medal_Fechas!$A:$K, 5, FALSE()), 0)</f>
        <v/>
      </c>
      <c r="D10" s="29">
        <f>IFERROR(VLOOKUP(A10, Medal_Fechas!$A:$K, 8, FALSE()), 0)</f>
        <v/>
      </c>
      <c r="E10" s="29">
        <f>IFERROR(VLOOKUP(A10, Medal_Fechas!$A:$K, 11, FALSE()), 0)</f>
        <v/>
      </c>
      <c r="F10" s="21">
        <f>IFERROR(VLOOKUP(A10, Medal_Fechas!$A:$N, 14, FALSE()), 0)</f>
        <v/>
      </c>
      <c r="G10" s="21">
        <f>IFERROR(VLOOKUP(A10, Medal_Fechas!$A:$Q, 17, FALSE()), 0)</f>
        <v/>
      </c>
      <c r="H10" s="21">
        <f>SUM(C10:G10)</f>
        <v/>
      </c>
    </row>
    <row r="11" ht="15" customHeight="1" s="22">
      <c r="A11" s="28" t="inlineStr">
        <is>
          <t>Dipaola, Martin</t>
        </is>
      </c>
      <c r="B11" s="28" t="inlineStr">
        <is>
          <t>GRIS</t>
        </is>
      </c>
      <c r="C11" s="29">
        <f>IFERROR(VLOOKUP(A11, Medal_Fechas!$A:$K, 5, FALSE()), 0)</f>
        <v/>
      </c>
      <c r="D11" s="29">
        <f>IFERROR(VLOOKUP(A11, Medal_Fechas!$A:$K, 8, FALSE()), 0)</f>
        <v/>
      </c>
      <c r="E11" s="29">
        <f>IFERROR(VLOOKUP(A11, Medal_Fechas!$A:$K, 11, FALSE()), 0)</f>
        <v/>
      </c>
      <c r="F11" s="21">
        <f>IFERROR(VLOOKUP(A11, Medal_Fechas!$A:$N, 14, FALSE()), 0)</f>
        <v/>
      </c>
      <c r="G11" s="21">
        <f>IFERROR(VLOOKUP(A11, Medal_Fechas!$A:$Q, 17, FALSE()), 0)</f>
        <v/>
      </c>
      <c r="H11" s="21">
        <f>SUM(C11:G11)</f>
        <v/>
      </c>
    </row>
    <row r="12" ht="15" customHeight="1" s="22">
      <c r="A12" s="28" t="inlineStr">
        <is>
          <t>Benegas, Pancho</t>
        </is>
      </c>
      <c r="B12" s="28" t="inlineStr">
        <is>
          <t>GRIS</t>
        </is>
      </c>
      <c r="C12" s="29">
        <f>IFERROR(VLOOKUP(A12, Medal_Fechas!$A:$K, 5, FALSE()), 0)</f>
        <v/>
      </c>
      <c r="D12" s="29">
        <f>IFERROR(VLOOKUP(A12, Medal_Fechas!$A:$K, 8, FALSE()), 0)</f>
        <v/>
      </c>
      <c r="E12" s="29">
        <f>IFERROR(VLOOKUP(A12, Medal_Fechas!$A:$K, 11, FALSE()), 0)</f>
        <v/>
      </c>
      <c r="F12" s="21">
        <f>IFERROR(VLOOKUP(A12, Medal_Fechas!$A:$N, 14, FALSE()), 0)</f>
        <v/>
      </c>
      <c r="G12" s="21">
        <f>IFERROR(VLOOKUP(A12, Medal_Fechas!$A:$Q, 17, FALSE()), 0)</f>
        <v/>
      </c>
      <c r="H12" s="21">
        <f>SUM(C12:G12)</f>
        <v/>
      </c>
    </row>
    <row r="13" ht="15" customHeight="1" s="22">
      <c r="A13" s="28" t="inlineStr">
        <is>
          <t>Canónico, Agus</t>
        </is>
      </c>
      <c r="B13" s="28" t="inlineStr">
        <is>
          <t>ROJO</t>
        </is>
      </c>
      <c r="C13" s="29">
        <f>IFERROR(VLOOKUP(A13, Medal_Fechas!$A:$K, 5, FALSE()), 0)</f>
        <v/>
      </c>
      <c r="D13" s="29">
        <f>IFERROR(VLOOKUP(A13, Medal_Fechas!$A:$K, 8, FALSE()), 0)</f>
        <v/>
      </c>
      <c r="E13" s="29">
        <f>IFERROR(VLOOKUP(A13, Medal_Fechas!$A:$K, 11, FALSE()), 0)</f>
        <v/>
      </c>
      <c r="F13" s="21">
        <f>IFERROR(VLOOKUP(A13, Medal_Fechas!$A:$N, 14, FALSE()), 0)</f>
        <v/>
      </c>
      <c r="G13" s="21">
        <f>IFERROR(VLOOKUP(A13, Medal_Fechas!$A:$Q, 17, FALSE()), 0)</f>
        <v/>
      </c>
      <c r="H13" s="21">
        <f>SUM(C13:G13)</f>
        <v/>
      </c>
    </row>
    <row r="14" ht="15" customHeight="1" s="22">
      <c r="A14" s="28" t="inlineStr">
        <is>
          <t>Basaldua, Ignacio</t>
        </is>
      </c>
      <c r="B14" s="28" t="inlineStr">
        <is>
          <t>GRIS</t>
        </is>
      </c>
      <c r="C14" s="29">
        <f>IFERROR(VLOOKUP(A14, Medal_Fechas!$A:$K, 5, FALSE()), 0)</f>
        <v/>
      </c>
      <c r="D14" s="29">
        <f>IFERROR(VLOOKUP(A14, Medal_Fechas!$A:$K, 8, FALSE()), 0)</f>
        <v/>
      </c>
      <c r="E14" s="29">
        <f>IFERROR(VLOOKUP(A14, Medal_Fechas!$A:$K, 11, FALSE()), 0)</f>
        <v/>
      </c>
      <c r="F14" s="21">
        <f>IFERROR(VLOOKUP(A14, Medal_Fechas!$A:$N, 14, FALSE()), 0)</f>
        <v/>
      </c>
      <c r="G14" s="21">
        <f>IFERROR(VLOOKUP(A14, Medal_Fechas!$A:$Q, 17, FALSE()), 0)</f>
        <v/>
      </c>
      <c r="H14" s="21">
        <f>SUM(C14:G14)</f>
        <v/>
      </c>
    </row>
    <row r="15" ht="15" customHeight="1" s="22">
      <c r="A15" s="28" t="inlineStr">
        <is>
          <t>Zunino, Javi</t>
        </is>
      </c>
      <c r="B15" s="28" t="inlineStr">
        <is>
          <t>GRIS</t>
        </is>
      </c>
      <c r="C15" s="29">
        <f>IFERROR(VLOOKUP(A15, Medal_Fechas!$A:$K, 5, FALSE()), 0)</f>
        <v/>
      </c>
      <c r="D15" s="29">
        <f>IFERROR(VLOOKUP(A15, Medal_Fechas!$A:$K, 8, FALSE()), 0)</f>
        <v/>
      </c>
      <c r="E15" s="29">
        <f>IFERROR(VLOOKUP(A15, Medal_Fechas!$A:$K, 11, FALSE()), 0)</f>
        <v/>
      </c>
      <c r="F15" s="21">
        <f>IFERROR(VLOOKUP(A15, Medal_Fechas!$A:$N, 14, FALSE()), 0)</f>
        <v/>
      </c>
      <c r="G15" s="21">
        <f>IFERROR(VLOOKUP(A15, Medal_Fechas!$A:$Q, 17, FALSE()), 0)</f>
        <v/>
      </c>
      <c r="H15" s="21">
        <f>SUM(C15:G15)</f>
        <v/>
      </c>
    </row>
    <row r="16" ht="15" customHeight="1" s="22">
      <c r="A16" s="28" t="inlineStr">
        <is>
          <t>Scapparone, Nico</t>
        </is>
      </c>
      <c r="B16" s="28" t="inlineStr">
        <is>
          <t>ROJO</t>
        </is>
      </c>
      <c r="C16" s="29">
        <f>IFERROR(VLOOKUP(A16, Medal_Fechas!$A:$K, 5, FALSE()), 0)</f>
        <v/>
      </c>
      <c r="D16" s="29">
        <f>IFERROR(VLOOKUP(A16, Medal_Fechas!$A:$K, 8, FALSE()), 0)</f>
        <v/>
      </c>
      <c r="E16" s="29">
        <f>IFERROR(VLOOKUP(A16, Medal_Fechas!$A:$K, 11, FALSE()), 0)</f>
        <v/>
      </c>
      <c r="F16" s="21">
        <f>IFERROR(VLOOKUP(A16, Medal_Fechas!$A:$N, 14, FALSE()), 0)</f>
        <v/>
      </c>
      <c r="G16" s="21">
        <f>IFERROR(VLOOKUP(A16, Medal_Fechas!$A:$Q, 17, FALSE()), 0)</f>
        <v/>
      </c>
      <c r="H16" s="21">
        <f>SUM(C16:G16)</f>
        <v/>
      </c>
    </row>
    <row r="17" ht="15" customHeight="1" s="22">
      <c r="A17" s="28" t="inlineStr">
        <is>
          <t>Gonzalez, Agus</t>
        </is>
      </c>
      <c r="B17" s="28" t="inlineStr">
        <is>
          <t>GRIS</t>
        </is>
      </c>
      <c r="C17" s="29">
        <f>IFERROR(VLOOKUP(A17, Medal_Fechas!$A:$K, 5, FALSE()), 0)</f>
        <v/>
      </c>
      <c r="D17" s="29">
        <f>IFERROR(VLOOKUP(A17, Medal_Fechas!$A:$K, 8, FALSE()), 0)</f>
        <v/>
      </c>
      <c r="E17" s="29">
        <f>IFERROR(VLOOKUP(A17, Medal_Fechas!$A:$K, 11, FALSE()), 0)</f>
        <v/>
      </c>
      <c r="F17" s="21">
        <f>IFERROR(VLOOKUP(A17, Medal_Fechas!$A:$N, 14, FALSE()), 0)</f>
        <v/>
      </c>
      <c r="G17" s="21">
        <f>IFERROR(VLOOKUP(A17, Medal_Fechas!$A:$Q, 17, FALSE()), 0)</f>
        <v/>
      </c>
      <c r="H17" s="21">
        <f>SUM(C17:G17)</f>
        <v/>
      </c>
    </row>
    <row r="18" ht="15" customHeight="1" s="22">
      <c r="A18" s="31" t="inlineStr">
        <is>
          <t>Gatto, Alejandro</t>
        </is>
      </c>
      <c r="B18" s="31" t="inlineStr">
        <is>
          <t>—</t>
        </is>
      </c>
      <c r="C18" s="32">
        <f>IFERROR(VLOOKUP(A18, Medal_Fechas!$A:$K, 5, FALSE()), 0)</f>
        <v/>
      </c>
      <c r="D18" s="32">
        <f>IFERROR(VLOOKUP(A18, Medal_Fechas!$A:$K, 8, FALSE()), 0)</f>
        <v/>
      </c>
      <c r="E18" s="32">
        <f>IFERROR(VLOOKUP(A18, Medal_Fechas!$A:$K, 11, FALSE()), 0)</f>
        <v/>
      </c>
      <c r="F18" s="21">
        <f>IFERROR(VLOOKUP(A18, Medal_Fechas!$A:$N, 14, FALSE()), 0)</f>
        <v/>
      </c>
      <c r="G18" s="21">
        <f>IFERROR(VLOOKUP(A18, Medal_Fechas!$A:$Q, 17, FALSE()), 0)</f>
        <v/>
      </c>
      <c r="H18" s="21">
        <f>SUM(C18:G18)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0" zeroHeight="0" outlineLevelRow="0"/>
  <cols>
    <col width="6" customWidth="1" style="21" min="1" max="1"/>
    <col width="14" customWidth="1" style="21" min="2" max="2"/>
    <col width="18" customWidth="1" style="21" min="3" max="4"/>
    <col width="12" customWidth="1" style="21" min="5" max="5"/>
    <col width="26" customWidth="1" style="21" min="6" max="6"/>
    <col width="12" customWidth="1" style="21" min="7" max="7"/>
  </cols>
  <sheetData>
    <row r="1" ht="21.75" customHeight="1" s="22">
      <c r="A1" s="27" t="inlineStr">
        <is>
          <t>F#</t>
        </is>
      </c>
      <c r="B1" s="27" t="inlineStr">
        <is>
          <t>Fecha</t>
        </is>
      </c>
      <c r="C1" s="27" t="inlineStr">
        <is>
          <t>Cancha</t>
        </is>
      </c>
      <c r="D1" s="27" t="inlineStr">
        <is>
          <t>Modalidad</t>
        </is>
      </c>
      <c r="E1" s="27" t="inlineStr">
        <is>
          <t>Criterio</t>
        </is>
      </c>
      <c r="F1" s="27" t="inlineStr">
        <is>
          <t>Organizadores</t>
        </is>
      </c>
      <c r="G1" s="27" t="inlineStr">
        <is>
          <t>Estado</t>
        </is>
      </c>
    </row>
    <row r="2" ht="15" customHeight="1" s="22">
      <c r="A2" s="29" t="n">
        <v>1</v>
      </c>
      <c r="B2" s="28" t="inlineStr">
        <is>
          <t>14-Mar-2026</t>
        </is>
      </c>
      <c r="C2" s="28" t="inlineStr">
        <is>
          <t>CUBA Fátima</t>
        </is>
      </c>
      <c r="D2" s="28" t="inlineStr">
        <is>
          <t>Fourball 2v2</t>
        </is>
      </c>
      <c r="E2" s="28" t="inlineStr">
        <is>
          <t>Neto</t>
        </is>
      </c>
      <c r="F2" s="28" t="inlineStr">
        <is>
          <t>Gatto + Zunino</t>
        </is>
      </c>
      <c r="G2" s="39" t="inlineStr">
        <is>
          <t>Jugada</t>
        </is>
      </c>
    </row>
    <row r="3" ht="15" customHeight="1" s="22">
      <c r="A3" s="29" t="n">
        <v>2</v>
      </c>
      <c r="B3" s="28" t="inlineStr">
        <is>
          <t>11-Abr-2026</t>
        </is>
      </c>
      <c r="C3" s="28" t="inlineStr">
        <is>
          <t>CUBA Fátima</t>
        </is>
      </c>
      <c r="D3" s="28" t="inlineStr">
        <is>
          <t>Fourball 2v2</t>
        </is>
      </c>
      <c r="E3" s="28" t="inlineStr">
        <is>
          <t>Neto</t>
        </is>
      </c>
      <c r="F3" s="28" t="inlineStr">
        <is>
          <t>—</t>
        </is>
      </c>
      <c r="G3" s="39" t="inlineStr">
        <is>
          <t>Jugada</t>
        </is>
      </c>
    </row>
    <row r="4" ht="15" customHeight="1" s="22">
      <c r="A4" s="29" t="n">
        <v>3</v>
      </c>
      <c r="B4" s="28" t="inlineStr">
        <is>
          <t>09-May-2026</t>
        </is>
      </c>
      <c r="C4" s="28" t="inlineStr">
        <is>
          <t>SHA Hebraica</t>
        </is>
      </c>
      <c r="D4" s="28" t="inlineStr">
        <is>
          <t>Individual</t>
        </is>
      </c>
      <c r="E4" s="28" t="inlineStr">
        <is>
          <t>Neto</t>
        </is>
      </c>
      <c r="F4" s="28" t="inlineStr">
        <is>
          <t>Gonzalez + Tarasido</t>
        </is>
      </c>
      <c r="G4" s="39" t="inlineStr">
        <is>
          <t>Jugada</t>
        </is>
      </c>
    </row>
    <row r="5" ht="15" customHeight="1" s="22">
      <c r="A5" s="29" t="n">
        <v>4</v>
      </c>
      <c r="B5" s="28" t="inlineStr">
        <is>
          <t>06-Jun-2026</t>
        </is>
      </c>
      <c r="C5" s="28" t="inlineStr">
        <is>
          <t>CUBA Fátima</t>
        </is>
      </c>
      <c r="D5" s="28" t="inlineStr">
        <is>
          <t>Fourball 2v2</t>
        </is>
      </c>
      <c r="E5" s="28" t="inlineStr">
        <is>
          <t>Neto</t>
        </is>
      </c>
      <c r="F5" s="28" t="inlineStr">
        <is>
          <t>Pannullo + Basaldua</t>
        </is>
      </c>
      <c r="G5" s="32" t="inlineStr">
        <is>
          <t>Jugada (solo match — niebla)</t>
        </is>
      </c>
    </row>
    <row r="6" ht="15" customHeight="1" s="22">
      <c r="A6" s="29" t="n">
        <v>5</v>
      </c>
      <c r="B6" s="28" t="inlineStr">
        <is>
          <t>04-Jul-2026</t>
        </is>
      </c>
      <c r="C6" s="28" t="inlineStr">
        <is>
          <t>La Orquídea</t>
        </is>
      </c>
      <c r="D6" s="28" t="inlineStr">
        <is>
          <t>Fourball 2v2</t>
        </is>
      </c>
      <c r="E6" s="28" t="inlineStr">
        <is>
          <t>Neto</t>
        </is>
      </c>
      <c r="F6" s="28" t="inlineStr">
        <is>
          <t>Basaldua + Canónico</t>
        </is>
      </c>
      <c r="G6" s="32" t="inlineStr">
        <is>
          <t>Jugada</t>
        </is>
      </c>
    </row>
    <row r="7" ht="15" customHeight="1" s="22">
      <c r="A7" s="29" t="n">
        <v>6</v>
      </c>
      <c r="B7" s="28" t="inlineStr">
        <is>
          <t>08-Ago-2026</t>
        </is>
      </c>
      <c r="C7" s="28" t="inlineStr">
        <is>
          <t>CUBA Fátima</t>
        </is>
      </c>
      <c r="D7" s="28" t="inlineStr">
        <is>
          <t>Individual 1v1</t>
        </is>
      </c>
      <c r="E7" s="28" t="inlineStr">
        <is>
          <t>Neto</t>
        </is>
      </c>
      <c r="F7" s="28" t="inlineStr">
        <is>
          <t>Guevara + Vogelius</t>
        </is>
      </c>
      <c r="G7" s="32" t="inlineStr">
        <is>
          <t>Jugada</t>
        </is>
      </c>
    </row>
    <row r="8" ht="15" customHeight="1" s="22">
      <c r="A8" s="29" t="n">
        <v>7</v>
      </c>
      <c r="B8" s="28" t="inlineStr">
        <is>
          <t>12-Sep-2026</t>
        </is>
      </c>
      <c r="C8" s="28" t="inlineStr">
        <is>
          <t>CUBA Fátima</t>
        </is>
      </c>
      <c r="D8" s="28" t="inlineStr">
        <is>
          <t>Fourball 2v2</t>
        </is>
      </c>
      <c r="E8" s="28" t="inlineStr">
        <is>
          <t>Neto</t>
        </is>
      </c>
      <c r="F8" s="28" t="inlineStr">
        <is>
          <t>Scapparone + Benegas</t>
        </is>
      </c>
      <c r="G8" s="32" t="inlineStr">
        <is>
          <t>Pendiente</t>
        </is>
      </c>
    </row>
    <row r="9" ht="15" customHeight="1" s="22">
      <c r="A9" s="29" t="n">
        <v>8</v>
      </c>
      <c r="B9" s="28" t="inlineStr">
        <is>
          <t>03-Oct-2026</t>
        </is>
      </c>
      <c r="C9" s="28" t="inlineStr">
        <is>
          <t>CUBA Fátima</t>
        </is>
      </c>
      <c r="D9" s="28" t="inlineStr">
        <is>
          <t>Individual 1v1</t>
        </is>
      </c>
      <c r="E9" s="28" t="inlineStr">
        <is>
          <t>Neto</t>
        </is>
      </c>
      <c r="F9" s="28" t="inlineStr">
        <is>
          <t>Elizalde + Mendez</t>
        </is>
      </c>
      <c r="G9" s="32" t="inlineStr">
        <is>
          <t>Pendiente</t>
        </is>
      </c>
    </row>
    <row r="10" ht="15" customHeight="1" s="22">
      <c r="A10" s="29" t="n">
        <v>9</v>
      </c>
      <c r="B10" s="28" t="inlineStr">
        <is>
          <t>04-Nov-2026</t>
        </is>
      </c>
      <c r="C10" s="28" t="inlineStr">
        <is>
          <t>GIRA</t>
        </is>
      </c>
      <c r="D10" s="28" t="inlineStr">
        <is>
          <t>Fourball inverso</t>
        </is>
      </c>
      <c r="E10" s="28" t="inlineStr">
        <is>
          <t>Neto ×1.5</t>
        </is>
      </c>
      <c r="F10" s="28" t="inlineStr">
        <is>
          <t>GIRA</t>
        </is>
      </c>
      <c r="G10" s="32" t="inlineStr">
        <is>
          <t>Pendiente</t>
        </is>
      </c>
    </row>
    <row r="11" ht="15" customHeight="1" s="22">
      <c r="A11" s="29" t="n">
        <v>10</v>
      </c>
      <c r="B11" s="28" t="inlineStr">
        <is>
          <t>09-Nov-2026</t>
        </is>
      </c>
      <c r="C11" s="28" t="inlineStr">
        <is>
          <t>GIRA FINAL</t>
        </is>
      </c>
      <c r="D11" s="28" t="inlineStr">
        <is>
          <t>Individual 1v1</t>
        </is>
      </c>
      <c r="E11" s="28" t="inlineStr">
        <is>
          <t>Neto ×2</t>
        </is>
      </c>
      <c r="F11" s="28" t="inlineStr">
        <is>
          <t>GIRA</t>
        </is>
      </c>
      <c r="G11" s="32" t="inlineStr">
        <is>
          <t>Pendiente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O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83203125" defaultRowHeight="15" customHeight="0" zeroHeight="0" outlineLevelRow="0"/>
  <cols>
    <col width="24" customWidth="1" style="21" min="1" max="1"/>
    <col width="6" customWidth="1" style="21" min="2" max="41"/>
  </cols>
  <sheetData>
    <row r="1" ht="15" customHeight="1" s="22">
      <c r="A1" s="27" t="inlineStr">
        <is>
          <t>Jugador</t>
        </is>
      </c>
      <c r="B1" s="27" t="inlineStr">
        <is>
          <t>2016</t>
        </is>
      </c>
      <c r="C1" s="40" t="n"/>
      <c r="D1" s="40" t="n"/>
      <c r="E1" s="41" t="n"/>
      <c r="F1" s="27" t="inlineStr">
        <is>
          <t>2017</t>
        </is>
      </c>
      <c r="G1" s="40" t="n"/>
      <c r="H1" s="40" t="n"/>
      <c r="I1" s="41" t="n"/>
      <c r="J1" s="27" t="inlineStr">
        <is>
          <t>2018</t>
        </is>
      </c>
      <c r="K1" s="40" t="n"/>
      <c r="L1" s="40" t="n"/>
      <c r="M1" s="41" t="n"/>
      <c r="N1" s="27" t="inlineStr">
        <is>
          <t>2019</t>
        </is>
      </c>
      <c r="O1" s="40" t="n"/>
      <c r="P1" s="40" t="n"/>
      <c r="Q1" s="41" t="n"/>
      <c r="R1" s="27" t="inlineStr">
        <is>
          <t>2020</t>
        </is>
      </c>
      <c r="S1" s="40" t="n"/>
      <c r="T1" s="40" t="n"/>
      <c r="U1" s="41" t="n"/>
      <c r="V1" s="27" t="inlineStr">
        <is>
          <t>2021</t>
        </is>
      </c>
      <c r="W1" s="40" t="n"/>
      <c r="X1" s="40" t="n"/>
      <c r="Y1" s="41" t="n"/>
      <c r="Z1" s="27" t="inlineStr">
        <is>
          <t>2022</t>
        </is>
      </c>
      <c r="AA1" s="40" t="n"/>
      <c r="AB1" s="40" t="n"/>
      <c r="AC1" s="41" t="n"/>
      <c r="AD1" s="27" t="inlineStr">
        <is>
          <t>2023</t>
        </is>
      </c>
      <c r="AE1" s="40" t="n"/>
      <c r="AF1" s="40" t="n"/>
      <c r="AG1" s="41" t="n"/>
      <c r="AH1" s="27" t="inlineStr">
        <is>
          <t>2024</t>
        </is>
      </c>
      <c r="AI1" s="40" t="n"/>
      <c r="AJ1" s="40" t="n"/>
      <c r="AK1" s="41" t="n"/>
      <c r="AL1" s="27" t="inlineStr">
        <is>
          <t>2025</t>
        </is>
      </c>
      <c r="AM1" s="40" t="n"/>
      <c r="AN1" s="40" t="n"/>
      <c r="AO1" s="41" t="n"/>
    </row>
    <row r="2" ht="15" customHeight="1" s="22">
      <c r="A2" s="42" t="n"/>
      <c r="B2" s="43" t="inlineStr">
        <is>
          <t>FJ</t>
        </is>
      </c>
      <c r="C2" s="43" t="inlineStr">
        <is>
          <t>FG</t>
        </is>
      </c>
      <c r="D2" s="43" t="inlineStr">
        <is>
          <t>AG</t>
        </is>
      </c>
      <c r="E2" s="43" t="inlineStr">
        <is>
          <t>AN</t>
        </is>
      </c>
      <c r="F2" s="43" t="inlineStr">
        <is>
          <t>FJ</t>
        </is>
      </c>
      <c r="G2" s="43" t="inlineStr">
        <is>
          <t>FG</t>
        </is>
      </c>
      <c r="H2" s="43" t="inlineStr">
        <is>
          <t>AG</t>
        </is>
      </c>
      <c r="I2" s="43" t="inlineStr">
        <is>
          <t>AN</t>
        </is>
      </c>
      <c r="J2" s="43" t="inlineStr">
        <is>
          <t>FJ</t>
        </is>
      </c>
      <c r="K2" s="43" t="inlineStr">
        <is>
          <t>FG</t>
        </is>
      </c>
      <c r="L2" s="43" t="inlineStr">
        <is>
          <t>AG</t>
        </is>
      </c>
      <c r="M2" s="43" t="inlineStr">
        <is>
          <t>AN</t>
        </is>
      </c>
      <c r="N2" s="43" t="inlineStr">
        <is>
          <t>FJ</t>
        </is>
      </c>
      <c r="O2" s="43" t="inlineStr">
        <is>
          <t>FG</t>
        </is>
      </c>
      <c r="P2" s="43" t="inlineStr">
        <is>
          <t>AG</t>
        </is>
      </c>
      <c r="Q2" s="43" t="inlineStr">
        <is>
          <t>AN</t>
        </is>
      </c>
      <c r="R2" s="43" t="inlineStr">
        <is>
          <t>FJ</t>
        </is>
      </c>
      <c r="S2" s="43" t="inlineStr">
        <is>
          <t>FG</t>
        </is>
      </c>
      <c r="T2" s="43" t="inlineStr">
        <is>
          <t>AG</t>
        </is>
      </c>
      <c r="U2" s="43" t="inlineStr">
        <is>
          <t>AN</t>
        </is>
      </c>
      <c r="V2" s="43" t="inlineStr">
        <is>
          <t>FJ</t>
        </is>
      </c>
      <c r="W2" s="43" t="inlineStr">
        <is>
          <t>FG</t>
        </is>
      </c>
      <c r="X2" s="43" t="inlineStr">
        <is>
          <t>AG</t>
        </is>
      </c>
      <c r="Y2" s="43" t="inlineStr">
        <is>
          <t>AN</t>
        </is>
      </c>
      <c r="Z2" s="43" t="inlineStr">
        <is>
          <t>FJ</t>
        </is>
      </c>
      <c r="AA2" s="43" t="inlineStr">
        <is>
          <t>FG</t>
        </is>
      </c>
      <c r="AB2" s="43" t="inlineStr">
        <is>
          <t>AG</t>
        </is>
      </c>
      <c r="AC2" s="43" t="inlineStr">
        <is>
          <t>AN</t>
        </is>
      </c>
      <c r="AD2" s="43" t="inlineStr">
        <is>
          <t>FJ</t>
        </is>
      </c>
      <c r="AE2" s="43" t="inlineStr">
        <is>
          <t>FG</t>
        </is>
      </c>
      <c r="AF2" s="43" t="inlineStr">
        <is>
          <t>AG</t>
        </is>
      </c>
      <c r="AG2" s="43" t="inlineStr">
        <is>
          <t>AN</t>
        </is>
      </c>
      <c r="AH2" s="43" t="inlineStr">
        <is>
          <t>FJ</t>
        </is>
      </c>
      <c r="AI2" s="43" t="inlineStr">
        <is>
          <t>FG</t>
        </is>
      </c>
      <c r="AJ2" s="43" t="inlineStr">
        <is>
          <t>AG</t>
        </is>
      </c>
      <c r="AK2" s="43" t="inlineStr">
        <is>
          <t>AN</t>
        </is>
      </c>
      <c r="AL2" s="43" t="inlineStr">
        <is>
          <t>FJ</t>
        </is>
      </c>
      <c r="AM2" s="43" t="inlineStr">
        <is>
          <t>FG</t>
        </is>
      </c>
      <c r="AN2" s="43" t="inlineStr">
        <is>
          <t>AG</t>
        </is>
      </c>
      <c r="AO2" s="43" t="inlineStr">
        <is>
          <t>AN</t>
        </is>
      </c>
    </row>
    <row r="3" ht="15" customHeight="1" s="22">
      <c r="A3" s="28" t="inlineStr">
        <is>
          <t>Gonzalez, Agustín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>
        <v>7</v>
      </c>
      <c r="AA3" s="44" t="n">
        <v>0</v>
      </c>
      <c r="AB3" s="44" t="n">
        <v>83.3</v>
      </c>
      <c r="AC3" s="44" t="n">
        <v>74.90000000000001</v>
      </c>
      <c r="AD3" s="44" t="n">
        <v>8</v>
      </c>
      <c r="AE3" s="44" t="n">
        <v>0</v>
      </c>
      <c r="AF3" s="44" t="n">
        <v>84.59999999999999</v>
      </c>
      <c r="AG3" s="44" t="n">
        <v>77.90000000000001</v>
      </c>
      <c r="AH3" s="44" t="n">
        <v>7</v>
      </c>
      <c r="AI3" s="44" t="n">
        <v>0</v>
      </c>
      <c r="AJ3" s="44" t="n">
        <v>81.40000000000001</v>
      </c>
      <c r="AK3" s="44" t="n">
        <v>75.90000000000001</v>
      </c>
      <c r="AL3" s="44" t="n">
        <v>7</v>
      </c>
      <c r="AM3" s="44" t="n">
        <v>0</v>
      </c>
      <c r="AN3" s="44" t="n">
        <v>86.90000000000001</v>
      </c>
      <c r="AO3" s="44" t="n">
        <v>78.3</v>
      </c>
    </row>
    <row r="4" ht="15" customHeight="1" s="22">
      <c r="A4" s="28" t="inlineStr">
        <is>
          <t>Tarasido, Gonzalo</t>
        </is>
      </c>
      <c r="B4" s="44" t="n"/>
      <c r="C4" s="44" t="n"/>
      <c r="D4" s="44" t="n"/>
      <c r="E4" s="44" t="n"/>
      <c r="F4" s="44" t="n">
        <v>1</v>
      </c>
      <c r="G4" s="44" t="n">
        <v>0</v>
      </c>
      <c r="H4" s="44" t="n">
        <v>88</v>
      </c>
      <c r="I4" s="44" t="n">
        <v>77</v>
      </c>
      <c r="J4" s="44" t="n">
        <v>7</v>
      </c>
      <c r="K4" s="44" t="n">
        <v>2</v>
      </c>
      <c r="L4" s="44" t="n">
        <v>88</v>
      </c>
      <c r="M4" s="44" t="n">
        <v>75.09999999999999</v>
      </c>
      <c r="N4" s="44" t="n">
        <v>7</v>
      </c>
      <c r="O4" s="44" t="n">
        <v>0</v>
      </c>
      <c r="P4" s="44" t="n">
        <v>90.3</v>
      </c>
      <c r="Q4" s="44" t="n">
        <v>78.3</v>
      </c>
      <c r="R4" s="44" t="n"/>
      <c r="S4" s="44" t="n"/>
      <c r="T4" s="44" t="n"/>
      <c r="U4" s="44" t="n"/>
      <c r="V4" s="44" t="n">
        <v>5</v>
      </c>
      <c r="W4" s="44" t="n">
        <v>0</v>
      </c>
      <c r="X4" s="44" t="n">
        <v>91.8</v>
      </c>
      <c r="Y4" s="44" t="n">
        <v>80</v>
      </c>
      <c r="Z4" s="44" t="n">
        <v>8</v>
      </c>
      <c r="AA4" s="44" t="n">
        <v>0</v>
      </c>
      <c r="AB4" s="44" t="n">
        <v>93</v>
      </c>
      <c r="AC4" s="44" t="n">
        <v>78.8</v>
      </c>
      <c r="AD4" s="44" t="n">
        <v>7</v>
      </c>
      <c r="AE4" s="44" t="n">
        <v>1</v>
      </c>
      <c r="AF4" s="44" t="n">
        <v>94</v>
      </c>
      <c r="AG4" s="44" t="n">
        <v>78.3</v>
      </c>
      <c r="AH4" s="44" t="n">
        <v>9</v>
      </c>
      <c r="AI4" s="44" t="n">
        <v>2</v>
      </c>
      <c r="AJ4" s="44" t="n">
        <v>89.09999999999999</v>
      </c>
      <c r="AK4" s="44" t="n">
        <v>75.09999999999999</v>
      </c>
      <c r="AL4" s="44" t="n">
        <v>9</v>
      </c>
      <c r="AM4" s="44" t="n">
        <v>1</v>
      </c>
      <c r="AN4" s="44" t="n">
        <v>87.90000000000001</v>
      </c>
      <c r="AO4" s="44" t="n">
        <v>76.3</v>
      </c>
    </row>
    <row r="5" ht="15" customHeight="1" s="22">
      <c r="A5" s="28" t="inlineStr">
        <is>
          <t>Zunino, Javier</t>
        </is>
      </c>
      <c r="B5" s="44" t="n">
        <v>4</v>
      </c>
      <c r="C5" s="44" t="n">
        <v>0</v>
      </c>
      <c r="D5" s="44" t="n"/>
      <c r="E5" s="44" t="n"/>
      <c r="F5" s="44" t="n">
        <v>6</v>
      </c>
      <c r="G5" s="44" t="n">
        <v>1</v>
      </c>
      <c r="H5" s="44" t="n">
        <v>93.3</v>
      </c>
      <c r="I5" s="44" t="n">
        <v>81.8</v>
      </c>
      <c r="J5" s="44" t="n">
        <v>7</v>
      </c>
      <c r="K5" s="44" t="n">
        <v>0</v>
      </c>
      <c r="L5" s="44" t="n">
        <v>95.90000000000001</v>
      </c>
      <c r="M5" s="44" t="n">
        <v>81.59999999999999</v>
      </c>
      <c r="N5" s="44" t="n"/>
      <c r="O5" s="44" t="n"/>
      <c r="P5" s="44" t="n"/>
      <c r="Q5" s="44" t="n"/>
      <c r="R5" s="44" t="n"/>
      <c r="S5" s="44" t="n"/>
      <c r="T5" s="44" t="n"/>
      <c r="U5" s="44" t="n"/>
      <c r="V5" s="44" t="n">
        <v>3</v>
      </c>
      <c r="W5" s="44" t="n">
        <v>1</v>
      </c>
      <c r="X5" s="44" t="n">
        <v>90.7</v>
      </c>
      <c r="Y5" s="44" t="n">
        <v>72.7</v>
      </c>
      <c r="Z5" s="44" t="n">
        <v>9</v>
      </c>
      <c r="AA5" s="44" t="n">
        <v>1</v>
      </c>
      <c r="AB5" s="44" t="n">
        <v>86.90000000000001</v>
      </c>
      <c r="AC5" s="44" t="n">
        <v>74.3</v>
      </c>
      <c r="AD5" s="44" t="n">
        <v>8</v>
      </c>
      <c r="AE5" s="44" t="n">
        <v>0</v>
      </c>
      <c r="AF5" s="44" t="n">
        <v>90.59999999999999</v>
      </c>
      <c r="AG5" s="44" t="n">
        <v>80.5</v>
      </c>
      <c r="AH5" s="44" t="n">
        <v>9</v>
      </c>
      <c r="AI5" s="44" t="n">
        <v>0</v>
      </c>
      <c r="AJ5" s="44" t="n">
        <v>90.40000000000001</v>
      </c>
      <c r="AK5" s="44" t="n">
        <v>80.59999999999999</v>
      </c>
      <c r="AL5" s="44" t="n">
        <v>10</v>
      </c>
      <c r="AM5" s="44" t="n">
        <v>1</v>
      </c>
      <c r="AN5" s="44" t="n">
        <v>88.40000000000001</v>
      </c>
      <c r="AO5" s="44" t="n">
        <v>75.5</v>
      </c>
    </row>
    <row r="6" ht="15" customHeight="1" s="22">
      <c r="A6" s="28" t="inlineStr">
        <is>
          <t>Basaldua, Ignacio</t>
        </is>
      </c>
      <c r="B6" s="44" t="n"/>
      <c r="C6" s="44" t="n"/>
      <c r="D6" s="44" t="n"/>
      <c r="E6" s="44" t="n"/>
      <c r="F6" s="44" t="n"/>
      <c r="G6" s="44" t="n"/>
      <c r="H6" s="44" t="n"/>
      <c r="I6" s="44" t="n"/>
      <c r="J6" s="44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>
        <v>8</v>
      </c>
      <c r="W6" s="44" t="n">
        <v>1</v>
      </c>
      <c r="X6" s="44" t="n">
        <v>95.8</v>
      </c>
      <c r="Y6" s="44" t="n">
        <v>77.40000000000001</v>
      </c>
      <c r="Z6" s="44" t="n">
        <v>5</v>
      </c>
      <c r="AA6" s="44" t="n">
        <v>0</v>
      </c>
      <c r="AB6" s="44" t="n">
        <v>101.4</v>
      </c>
      <c r="AC6" s="44" t="n">
        <v>83.2</v>
      </c>
      <c r="AD6" s="44" t="n">
        <v>7</v>
      </c>
      <c r="AE6" s="44" t="n">
        <v>0</v>
      </c>
      <c r="AF6" s="44" t="n">
        <v>97.7</v>
      </c>
      <c r="AG6" s="44" t="n">
        <v>80</v>
      </c>
      <c r="AH6" s="44" t="n">
        <v>9</v>
      </c>
      <c r="AI6" s="44" t="n">
        <v>1</v>
      </c>
      <c r="AJ6" s="44" t="n">
        <v>90.90000000000001</v>
      </c>
      <c r="AK6" s="44" t="n">
        <v>75</v>
      </c>
      <c r="AL6" s="44" t="n">
        <v>10</v>
      </c>
      <c r="AM6" s="44" t="n">
        <v>2</v>
      </c>
      <c r="AN6" s="44" t="n">
        <v>91.3</v>
      </c>
      <c r="AO6" s="44" t="n">
        <v>75.5</v>
      </c>
    </row>
    <row r="7" ht="15" customHeight="1" s="22">
      <c r="A7" s="28" t="inlineStr">
        <is>
          <t>Pannullo, Martín</t>
        </is>
      </c>
      <c r="B7" s="44" t="n">
        <v>4</v>
      </c>
      <c r="C7" s="44" t="n">
        <v>0</v>
      </c>
      <c r="D7" s="44" t="n">
        <v>124</v>
      </c>
      <c r="E7" s="44" t="n"/>
      <c r="F7" s="44" t="n">
        <v>6</v>
      </c>
      <c r="G7" s="44" t="n">
        <v>0</v>
      </c>
      <c r="H7" s="44" t="n">
        <v>105.3</v>
      </c>
      <c r="I7" s="44" t="n">
        <v>78.3</v>
      </c>
      <c r="J7" s="44" t="n">
        <v>8</v>
      </c>
      <c r="K7" s="44" t="n">
        <v>2</v>
      </c>
      <c r="L7" s="44" t="n">
        <v>107</v>
      </c>
      <c r="M7" s="44" t="n">
        <v>80</v>
      </c>
      <c r="N7" s="44" t="n">
        <v>7</v>
      </c>
      <c r="O7" s="44" t="n">
        <v>2</v>
      </c>
      <c r="P7" s="44" t="n">
        <v>101.3</v>
      </c>
      <c r="Q7" s="44" t="n">
        <v>75.3</v>
      </c>
      <c r="R7" s="44" t="n"/>
      <c r="S7" s="44" t="n"/>
      <c r="T7" s="44" t="n"/>
      <c r="U7" s="44" t="n"/>
      <c r="V7" s="44" t="n">
        <v>6</v>
      </c>
      <c r="W7" s="44" t="n">
        <v>0</v>
      </c>
      <c r="X7" s="44" t="n">
        <v>102.2</v>
      </c>
      <c r="Y7" s="44" t="n">
        <v>78.3</v>
      </c>
      <c r="Z7" s="44" t="n">
        <v>7</v>
      </c>
      <c r="AA7" s="44" t="n">
        <v>0</v>
      </c>
      <c r="AB7" s="44" t="n">
        <v>101.7</v>
      </c>
      <c r="AC7" s="44" t="n">
        <v>79.09999999999999</v>
      </c>
      <c r="AD7" s="44" t="n">
        <v>9</v>
      </c>
      <c r="AE7" s="44" t="n">
        <v>3</v>
      </c>
      <c r="AF7" s="44" t="n">
        <v>95.90000000000001</v>
      </c>
      <c r="AG7" s="44" t="n">
        <v>73.40000000000001</v>
      </c>
      <c r="AH7" s="44" t="n">
        <v>10</v>
      </c>
      <c r="AI7" s="44" t="n">
        <v>1</v>
      </c>
      <c r="AJ7" s="44" t="n">
        <v>94.90000000000001</v>
      </c>
      <c r="AK7" s="44" t="n">
        <v>77.3</v>
      </c>
      <c r="AL7" s="44" t="n">
        <v>9</v>
      </c>
      <c r="AM7" s="44" t="n">
        <v>1</v>
      </c>
      <c r="AN7" s="44" t="n">
        <v>95.90000000000001</v>
      </c>
      <c r="AO7" s="44" t="n">
        <v>80.7</v>
      </c>
    </row>
    <row r="8" ht="15" customHeight="1" s="22">
      <c r="A8" s="28" t="inlineStr">
        <is>
          <t>Benegas, Francisco</t>
        </is>
      </c>
      <c r="B8" s="44" t="n">
        <v>4</v>
      </c>
      <c r="C8" s="44" t="n">
        <v>0</v>
      </c>
      <c r="D8" s="44" t="n">
        <v>105</v>
      </c>
      <c r="E8" s="44" t="n"/>
      <c r="F8" s="44" t="n">
        <v>5</v>
      </c>
      <c r="G8" s="44" t="n">
        <v>0</v>
      </c>
      <c r="H8" s="44" t="n">
        <v>104.6</v>
      </c>
      <c r="I8" s="44" t="n">
        <v>81.59999999999999</v>
      </c>
      <c r="J8" s="44" t="n">
        <v>8</v>
      </c>
      <c r="K8" s="44" t="n">
        <v>1</v>
      </c>
      <c r="L8" s="44" t="n">
        <v>103.9</v>
      </c>
      <c r="M8" s="44" t="n">
        <v>79.09999999999999</v>
      </c>
      <c r="N8" s="44" t="n">
        <v>6</v>
      </c>
      <c r="O8" s="44" t="n">
        <v>0</v>
      </c>
      <c r="P8" s="44" t="n">
        <v>107.3</v>
      </c>
      <c r="Q8" s="44" t="n">
        <v>83.2</v>
      </c>
      <c r="R8" s="44" t="n"/>
      <c r="S8" s="44" t="n"/>
      <c r="T8" s="44" t="n"/>
      <c r="U8" s="44" t="n"/>
      <c r="V8" s="44" t="n">
        <v>9</v>
      </c>
      <c r="W8" s="44" t="n">
        <v>1</v>
      </c>
      <c r="X8" s="44" t="n">
        <v>101</v>
      </c>
      <c r="Y8" s="44" t="n">
        <v>76.09999999999999</v>
      </c>
      <c r="Z8" s="44" t="n">
        <v>7</v>
      </c>
      <c r="AA8" s="44" t="n">
        <v>0</v>
      </c>
      <c r="AB8" s="44" t="n">
        <v>100.9</v>
      </c>
      <c r="AC8" s="44" t="n">
        <v>75.09999999999999</v>
      </c>
      <c r="AD8" s="44" t="n">
        <v>8</v>
      </c>
      <c r="AE8" s="44" t="n">
        <v>1</v>
      </c>
      <c r="AF8" s="44" t="n">
        <v>100</v>
      </c>
      <c r="AG8" s="44" t="n">
        <v>75.2</v>
      </c>
      <c r="AH8" s="44" t="n">
        <v>10</v>
      </c>
      <c r="AI8" s="44" t="n">
        <v>1</v>
      </c>
      <c r="AJ8" s="44" t="n">
        <v>99</v>
      </c>
      <c r="AK8" s="44" t="n">
        <v>77</v>
      </c>
      <c r="AL8" s="44" t="n">
        <v>8</v>
      </c>
      <c r="AM8" s="44" t="n">
        <v>0</v>
      </c>
      <c r="AN8" s="44" t="n">
        <v>98.09999999999999</v>
      </c>
      <c r="AO8" s="44" t="n">
        <v>78.59999999999999</v>
      </c>
    </row>
    <row r="9" ht="15" customHeight="1" s="22">
      <c r="A9" s="28" t="inlineStr">
        <is>
          <t>Guevara, Francisco</t>
        </is>
      </c>
      <c r="B9" s="44" t="n">
        <v>4</v>
      </c>
      <c r="C9" s="44" t="n">
        <v>0</v>
      </c>
      <c r="D9" s="44" t="n">
        <v>112.3</v>
      </c>
      <c r="E9" s="44" t="n"/>
      <c r="F9" s="44" t="n">
        <v>7</v>
      </c>
      <c r="G9" s="44" t="n">
        <v>0</v>
      </c>
      <c r="H9" s="44" t="n">
        <v>100.9</v>
      </c>
      <c r="I9" s="44" t="n">
        <v>76.7</v>
      </c>
      <c r="J9" s="44" t="n">
        <v>8</v>
      </c>
      <c r="K9" s="44" t="n">
        <v>0</v>
      </c>
      <c r="L9" s="44" t="n">
        <v>101.2</v>
      </c>
      <c r="M9" s="44" t="n">
        <v>78.2</v>
      </c>
      <c r="N9" s="44" t="n">
        <v>6</v>
      </c>
      <c r="O9" s="44" t="n">
        <v>0</v>
      </c>
      <c r="P9" s="44" t="n">
        <v>105</v>
      </c>
      <c r="Q9" s="44" t="n">
        <v>82.7</v>
      </c>
      <c r="R9" s="44" t="n"/>
      <c r="S9" s="44" t="n"/>
      <c r="T9" s="44" t="n"/>
      <c r="U9" s="44" t="n"/>
      <c r="V9" s="44" t="n">
        <v>5</v>
      </c>
      <c r="W9" s="44" t="n">
        <v>0</v>
      </c>
      <c r="X9" s="44" t="n">
        <v>103.6</v>
      </c>
      <c r="Y9" s="44" t="n">
        <v>78.8</v>
      </c>
      <c r="Z9" s="44" t="n">
        <v>6</v>
      </c>
      <c r="AA9" s="44" t="n">
        <v>0</v>
      </c>
      <c r="AB9" s="44" t="n">
        <v>102.5</v>
      </c>
      <c r="AC9" s="44" t="n">
        <v>77.5</v>
      </c>
      <c r="AD9" s="44" t="n">
        <v>9</v>
      </c>
      <c r="AE9" s="44" t="n">
        <v>0</v>
      </c>
      <c r="AF9" s="44" t="n">
        <v>98.59999999999999</v>
      </c>
      <c r="AG9" s="44" t="n">
        <v>77.40000000000001</v>
      </c>
      <c r="AH9" s="44" t="n">
        <v>8</v>
      </c>
      <c r="AI9" s="44" t="n">
        <v>1</v>
      </c>
      <c r="AJ9" s="44" t="n">
        <v>97</v>
      </c>
      <c r="AK9" s="44" t="n">
        <v>76.59999999999999</v>
      </c>
      <c r="AL9" s="44" t="n">
        <v>10</v>
      </c>
      <c r="AM9" s="44" t="n">
        <v>0</v>
      </c>
      <c r="AN9" s="44" t="n">
        <v>98.90000000000001</v>
      </c>
      <c r="AO9" s="44" t="n">
        <v>78.7</v>
      </c>
    </row>
    <row r="10" ht="15" customHeight="1" s="22">
      <c r="A10" s="28" t="inlineStr">
        <is>
          <t>Dipaola, Martín</t>
        </is>
      </c>
      <c r="B10" s="44" t="n"/>
      <c r="C10" s="44" t="n"/>
      <c r="D10" s="44" t="n"/>
      <c r="E10" s="44" t="n"/>
      <c r="F10" s="44" t="n">
        <v>2</v>
      </c>
      <c r="G10" s="44" t="n">
        <v>0</v>
      </c>
      <c r="H10" s="44" t="n">
        <v>118.5</v>
      </c>
      <c r="I10" s="44" t="n">
        <v>93.5</v>
      </c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>
        <v>7</v>
      </c>
      <c r="AA10" s="44" t="n">
        <v>0</v>
      </c>
      <c r="AB10" s="44" t="n">
        <v>108.4</v>
      </c>
      <c r="AC10" s="44" t="n">
        <v>82.90000000000001</v>
      </c>
      <c r="AD10" s="44" t="n">
        <v>7</v>
      </c>
      <c r="AE10" s="44" t="n">
        <v>0</v>
      </c>
      <c r="AF10" s="44" t="n">
        <v>103.1</v>
      </c>
      <c r="AG10" s="44" t="n">
        <v>77.09999999999999</v>
      </c>
      <c r="AH10" s="44" t="n">
        <v>6</v>
      </c>
      <c r="AI10" s="44" t="n">
        <v>0</v>
      </c>
      <c r="AJ10" s="44" t="n">
        <v>102.2</v>
      </c>
      <c r="AK10" s="44" t="n">
        <v>77</v>
      </c>
      <c r="AL10" s="44" t="n">
        <v>6</v>
      </c>
      <c r="AM10" s="44" t="n">
        <v>0</v>
      </c>
      <c r="AN10" s="44" t="n">
        <v>100</v>
      </c>
      <c r="AO10" s="44" t="n">
        <v>78</v>
      </c>
    </row>
    <row r="11" ht="15" customHeight="1" s="22">
      <c r="A11" s="28" t="inlineStr">
        <is>
          <t>Gatto, Mariano</t>
        </is>
      </c>
      <c r="B11" s="44" t="n">
        <v>4</v>
      </c>
      <c r="C11" s="44" t="n">
        <v>1</v>
      </c>
      <c r="D11" s="44" t="n">
        <v>97.5</v>
      </c>
      <c r="E11" s="44" t="n"/>
      <c r="F11" s="44" t="n">
        <v>7</v>
      </c>
      <c r="G11" s="44" t="n">
        <v>2</v>
      </c>
      <c r="H11" s="44" t="n">
        <v>94.40000000000001</v>
      </c>
      <c r="I11" s="44" t="n">
        <v>75.90000000000001</v>
      </c>
      <c r="J11" s="44" t="n">
        <v>8</v>
      </c>
      <c r="K11" s="44" t="n">
        <v>1</v>
      </c>
      <c r="L11" s="44" t="n">
        <v>95.09999999999999</v>
      </c>
      <c r="M11" s="44" t="n">
        <v>81.09999999999999</v>
      </c>
      <c r="N11" s="44" t="n">
        <v>8</v>
      </c>
      <c r="O11" s="44" t="n">
        <v>0</v>
      </c>
      <c r="P11" s="44" t="n">
        <v>90</v>
      </c>
      <c r="Q11" s="44" t="n">
        <v>77.40000000000001</v>
      </c>
      <c r="R11" s="44" t="n"/>
      <c r="S11" s="44" t="n"/>
      <c r="T11" s="44" t="n"/>
      <c r="U11" s="44" t="n"/>
      <c r="V11" s="44" t="n">
        <v>8</v>
      </c>
      <c r="W11" s="44" t="n">
        <v>2</v>
      </c>
      <c r="X11" s="44" t="n">
        <v>84.8</v>
      </c>
      <c r="Y11" s="44" t="n">
        <v>74.40000000000001</v>
      </c>
      <c r="Z11" s="44" t="n">
        <v>7</v>
      </c>
      <c r="AA11" s="44" t="n">
        <v>0</v>
      </c>
      <c r="AB11" s="44" t="n">
        <v>87.7</v>
      </c>
      <c r="AC11" s="44" t="n">
        <v>76.40000000000001</v>
      </c>
      <c r="AD11" s="44" t="n">
        <v>9</v>
      </c>
      <c r="AE11" s="44" t="n">
        <v>0</v>
      </c>
      <c r="AF11" s="44" t="n">
        <v>84.8</v>
      </c>
      <c r="AG11" s="44" t="n">
        <v>75.7</v>
      </c>
      <c r="AH11" s="44" t="n">
        <v>9</v>
      </c>
      <c r="AI11" s="44" t="n">
        <v>0</v>
      </c>
      <c r="AJ11" s="44" t="n">
        <v>87.2</v>
      </c>
      <c r="AK11" s="44" t="n">
        <v>78</v>
      </c>
      <c r="AL11" s="44" t="n">
        <v>9</v>
      </c>
      <c r="AM11" s="44" t="n">
        <v>1</v>
      </c>
      <c r="AN11" s="44" t="n">
        <v>85.90000000000001</v>
      </c>
      <c r="AO11" s="44" t="n">
        <v>76</v>
      </c>
    </row>
    <row r="12" ht="15" customHeight="1" s="22">
      <c r="A12" s="28" t="inlineStr">
        <is>
          <t>Elizalde, Juan Pedro</t>
        </is>
      </c>
      <c r="B12" s="44" t="n">
        <v>4</v>
      </c>
      <c r="C12" s="44" t="n">
        <v>0</v>
      </c>
      <c r="D12" s="44" t="n">
        <v>98.7</v>
      </c>
      <c r="E12" s="44" t="n"/>
      <c r="F12" s="44" t="n">
        <v>7</v>
      </c>
      <c r="G12" s="44" t="n">
        <v>0</v>
      </c>
      <c r="H12" s="44" t="n">
        <v>94.90000000000001</v>
      </c>
      <c r="I12" s="44" t="n">
        <v>79.3</v>
      </c>
      <c r="J12" s="44" t="n">
        <v>8</v>
      </c>
      <c r="K12" s="44" t="n">
        <v>1</v>
      </c>
      <c r="L12" s="44" t="n">
        <v>93.40000000000001</v>
      </c>
      <c r="M12" s="44" t="n">
        <v>77.09999999999999</v>
      </c>
      <c r="N12" s="44" t="n">
        <v>8</v>
      </c>
      <c r="O12" s="44" t="n">
        <v>2</v>
      </c>
      <c r="P12" s="44" t="n">
        <v>92.40000000000001</v>
      </c>
      <c r="Q12" s="44" t="n">
        <v>76.59999999999999</v>
      </c>
      <c r="R12" s="44" t="n"/>
      <c r="S12" s="44" t="n"/>
      <c r="T12" s="44" t="n"/>
      <c r="U12" s="44" t="n"/>
      <c r="V12" s="44" t="n">
        <v>9</v>
      </c>
      <c r="W12" s="44" t="n">
        <v>1</v>
      </c>
      <c r="X12" s="44" t="n">
        <v>88.40000000000001</v>
      </c>
      <c r="Y12" s="44" t="n">
        <v>76</v>
      </c>
      <c r="Z12" s="44" t="n">
        <v>9</v>
      </c>
      <c r="AA12" s="44" t="n">
        <v>2</v>
      </c>
      <c r="AB12" s="44" t="n">
        <v>88.3</v>
      </c>
      <c r="AC12" s="44" t="n">
        <v>76.90000000000001</v>
      </c>
      <c r="AD12" s="44" t="n">
        <v>9</v>
      </c>
      <c r="AE12" s="44" t="n">
        <v>2</v>
      </c>
      <c r="AF12" s="44" t="n">
        <v>82.59999999999999</v>
      </c>
      <c r="AG12" s="44" t="n">
        <v>74.90000000000001</v>
      </c>
      <c r="AH12" s="44" t="n">
        <v>7</v>
      </c>
      <c r="AI12" s="44" t="n">
        <v>0</v>
      </c>
      <c r="AJ12" s="44" t="n">
        <v>87.40000000000001</v>
      </c>
      <c r="AK12" s="44" t="n">
        <v>80.3</v>
      </c>
      <c r="AL12" s="44" t="n">
        <v>10</v>
      </c>
      <c r="AM12" s="44" t="n">
        <v>0</v>
      </c>
      <c r="AN12" s="44" t="n">
        <v>91</v>
      </c>
      <c r="AO12" s="44" t="n">
        <v>80.90000000000001</v>
      </c>
    </row>
    <row r="13" ht="15" customHeight="1" s="22">
      <c r="A13" s="28" t="inlineStr">
        <is>
          <t>Canónico, Agustín</t>
        </is>
      </c>
      <c r="B13" s="44" t="n">
        <v>4</v>
      </c>
      <c r="C13" s="44" t="n">
        <v>0</v>
      </c>
      <c r="D13" s="44" t="n">
        <v>95.3</v>
      </c>
      <c r="E13" s="44" t="n"/>
      <c r="F13" s="44" t="n">
        <v>8</v>
      </c>
      <c r="G13" s="44" t="n">
        <v>0</v>
      </c>
      <c r="H13" s="44" t="n">
        <v>97.59999999999999</v>
      </c>
      <c r="I13" s="44" t="n">
        <v>80.2</v>
      </c>
      <c r="J13" s="44" t="n">
        <v>7</v>
      </c>
      <c r="K13" s="44" t="n">
        <v>0</v>
      </c>
      <c r="L13" s="44" t="n">
        <v>96.59999999999999</v>
      </c>
      <c r="M13" s="44" t="n">
        <v>77.09999999999999</v>
      </c>
      <c r="N13" s="44" t="n">
        <v>8</v>
      </c>
      <c r="O13" s="44" t="n">
        <v>2</v>
      </c>
      <c r="P13" s="44" t="n">
        <v>92.40000000000001</v>
      </c>
      <c r="Q13" s="44" t="n">
        <v>73.2</v>
      </c>
      <c r="R13" s="44" t="n"/>
      <c r="S13" s="44" t="n"/>
      <c r="T13" s="44" t="n"/>
      <c r="U13" s="44" t="n"/>
      <c r="V13" s="44" t="n">
        <v>5</v>
      </c>
      <c r="W13" s="44" t="n">
        <v>1</v>
      </c>
      <c r="X13" s="44" t="n">
        <v>93</v>
      </c>
      <c r="Y13" s="44" t="n">
        <v>76.2</v>
      </c>
      <c r="Z13" s="44" t="n">
        <v>7</v>
      </c>
      <c r="AA13" s="44" t="n">
        <v>1</v>
      </c>
      <c r="AB13" s="44" t="n">
        <v>93.90000000000001</v>
      </c>
      <c r="AC13" s="44" t="n">
        <v>76.09999999999999</v>
      </c>
      <c r="AD13" s="44" t="n">
        <v>7</v>
      </c>
      <c r="AE13" s="44" t="n">
        <v>1</v>
      </c>
      <c r="AF13" s="44" t="n">
        <v>92</v>
      </c>
      <c r="AG13" s="44" t="n">
        <v>77.3</v>
      </c>
      <c r="AH13" s="44" t="n">
        <v>8</v>
      </c>
      <c r="AI13" s="44" t="n">
        <v>0</v>
      </c>
      <c r="AJ13" s="44" t="n">
        <v>94.90000000000001</v>
      </c>
      <c r="AK13" s="44" t="n">
        <v>80.5</v>
      </c>
      <c r="AL13" s="44" t="n">
        <v>8</v>
      </c>
      <c r="AM13" s="44" t="n">
        <v>0</v>
      </c>
      <c r="AN13" s="44" t="n">
        <v>95.5</v>
      </c>
      <c r="AO13" s="44" t="n">
        <v>81.2</v>
      </c>
    </row>
    <row r="14" ht="15" customHeight="1" s="22">
      <c r="A14" s="28" t="inlineStr">
        <is>
          <t>Vogelius, Nicolás</t>
        </is>
      </c>
      <c r="B14" s="44" t="n">
        <v>4</v>
      </c>
      <c r="C14" s="44" t="n">
        <v>0</v>
      </c>
      <c r="D14" s="44" t="n">
        <v>106.7</v>
      </c>
      <c r="E14" s="44" t="n"/>
      <c r="F14" s="44" t="n">
        <v>7</v>
      </c>
      <c r="G14" s="44" t="n">
        <v>1</v>
      </c>
      <c r="H14" s="44" t="n">
        <v>96.90000000000001</v>
      </c>
      <c r="I14" s="44" t="n">
        <v>80.90000000000001</v>
      </c>
      <c r="J14" s="44" t="n">
        <v>5</v>
      </c>
      <c r="K14" s="44" t="n">
        <v>0</v>
      </c>
      <c r="L14" s="44" t="n">
        <v>99</v>
      </c>
      <c r="M14" s="44" t="n">
        <v>82.2</v>
      </c>
      <c r="N14" s="44" t="n">
        <v>7</v>
      </c>
      <c r="O14" s="44" t="n">
        <v>0</v>
      </c>
      <c r="P14" s="44" t="n">
        <v>96.3</v>
      </c>
      <c r="Q14" s="44" t="n">
        <v>78.40000000000001</v>
      </c>
      <c r="R14" s="44" t="n"/>
      <c r="S14" s="44" t="n"/>
      <c r="T14" s="44" t="n"/>
      <c r="U14" s="44" t="n"/>
      <c r="V14" s="44" t="n">
        <v>8</v>
      </c>
      <c r="W14" s="44" t="n">
        <v>0</v>
      </c>
      <c r="X14" s="44" t="n">
        <v>94.8</v>
      </c>
      <c r="Y14" s="44" t="n">
        <v>76.2</v>
      </c>
      <c r="Z14" s="44" t="n">
        <v>9</v>
      </c>
      <c r="AA14" s="44" t="n">
        <v>4</v>
      </c>
      <c r="AB14" s="44" t="n">
        <v>91.40000000000001</v>
      </c>
      <c r="AC14" s="44" t="n">
        <v>73.2</v>
      </c>
      <c r="AD14" s="44" t="n">
        <v>8</v>
      </c>
      <c r="AE14" s="44" t="n">
        <v>1</v>
      </c>
      <c r="AF14" s="44" t="n">
        <v>95.2</v>
      </c>
      <c r="AG14" s="44" t="n">
        <v>80.8</v>
      </c>
      <c r="AH14" s="44" t="n">
        <v>8</v>
      </c>
      <c r="AI14" s="44" t="n">
        <v>1</v>
      </c>
      <c r="AJ14" s="44" t="n">
        <v>93.2</v>
      </c>
      <c r="AK14" s="44" t="n">
        <v>78.2</v>
      </c>
      <c r="AL14" s="44" t="n">
        <v>10</v>
      </c>
      <c r="AM14" s="44" t="n">
        <v>2</v>
      </c>
      <c r="AN14" s="44" t="n">
        <v>92.09999999999999</v>
      </c>
      <c r="AO14" s="44" t="n">
        <v>75.59999999999999</v>
      </c>
    </row>
    <row r="15" ht="15" customHeight="1" s="22">
      <c r="A15" s="28" t="inlineStr">
        <is>
          <t>Méndez, Gastón</t>
        </is>
      </c>
      <c r="B15" s="44" t="n">
        <v>4</v>
      </c>
      <c r="C15" s="44" t="n">
        <v>1</v>
      </c>
      <c r="D15" s="44" t="n">
        <v>103.3</v>
      </c>
      <c r="E15" s="44" t="n"/>
      <c r="F15" s="44" t="n">
        <v>6</v>
      </c>
      <c r="G15" s="44" t="n">
        <v>0</v>
      </c>
      <c r="H15" s="44" t="n">
        <v>105.2</v>
      </c>
      <c r="I15" s="44" t="n">
        <v>85.2</v>
      </c>
      <c r="J15" s="44" t="n">
        <v>7</v>
      </c>
      <c r="K15" s="44" t="n">
        <v>1</v>
      </c>
      <c r="L15" s="44" t="n">
        <v>99.40000000000001</v>
      </c>
      <c r="M15" s="44" t="n">
        <v>78.3</v>
      </c>
      <c r="N15" s="44" t="n">
        <v>7</v>
      </c>
      <c r="O15" s="44" t="n">
        <v>0</v>
      </c>
      <c r="P15" s="44" t="n">
        <v>101.7</v>
      </c>
      <c r="Q15" s="44" t="n">
        <v>79.7</v>
      </c>
      <c r="R15" s="44" t="n"/>
      <c r="S15" s="44" t="n"/>
      <c r="T15" s="44" t="n"/>
      <c r="U15" s="44" t="n"/>
      <c r="V15" s="44" t="n">
        <v>9</v>
      </c>
      <c r="W15" s="44" t="n">
        <v>1</v>
      </c>
      <c r="X15" s="44" t="n">
        <v>97.59999999999999</v>
      </c>
      <c r="Y15" s="44" t="n">
        <v>76.09999999999999</v>
      </c>
      <c r="Z15" s="44" t="n">
        <v>7</v>
      </c>
      <c r="AA15" s="44" t="n">
        <v>0</v>
      </c>
      <c r="AB15" s="44" t="n">
        <v>94.59999999999999</v>
      </c>
      <c r="AC15" s="44" t="n">
        <v>73.09999999999999</v>
      </c>
      <c r="AD15" s="44" t="n">
        <v>9</v>
      </c>
      <c r="AE15" s="44" t="n">
        <v>1</v>
      </c>
      <c r="AF15" s="44" t="n">
        <v>99.09999999999999</v>
      </c>
      <c r="AG15" s="44" t="n">
        <v>79.8</v>
      </c>
      <c r="AH15" s="44" t="n">
        <v>10</v>
      </c>
      <c r="AI15" s="44" t="n">
        <v>0</v>
      </c>
      <c r="AJ15" s="44" t="n">
        <v>95</v>
      </c>
      <c r="AK15" s="44" t="n">
        <v>76.5</v>
      </c>
      <c r="AL15" s="44" t="n">
        <v>10</v>
      </c>
      <c r="AM15" s="44" t="n">
        <v>2</v>
      </c>
      <c r="AN15" s="44" t="n">
        <v>95.8</v>
      </c>
      <c r="AO15" s="44" t="n">
        <v>77.90000000000001</v>
      </c>
    </row>
    <row r="16" ht="15" customHeight="1" s="22">
      <c r="A16" s="28" t="inlineStr">
        <is>
          <t>Molinario, Andrés</t>
        </is>
      </c>
      <c r="B16" s="44" t="n">
        <v>4</v>
      </c>
      <c r="C16" s="44" t="n">
        <v>0</v>
      </c>
      <c r="D16" s="44" t="n">
        <v>117</v>
      </c>
      <c r="E16" s="44" t="n"/>
      <c r="F16" s="44" t="n">
        <v>7</v>
      </c>
      <c r="G16" s="44" t="n">
        <v>2</v>
      </c>
      <c r="H16" s="44" t="n">
        <v>100.4</v>
      </c>
      <c r="I16" s="44" t="n">
        <v>75.59999999999999</v>
      </c>
      <c r="J16" s="44" t="n">
        <v>6</v>
      </c>
      <c r="K16" s="44" t="n">
        <v>0</v>
      </c>
      <c r="L16" s="44" t="n">
        <v>105.7</v>
      </c>
      <c r="M16" s="44" t="n">
        <v>82.5</v>
      </c>
      <c r="N16" s="44" t="n">
        <v>3</v>
      </c>
      <c r="O16" s="44" t="n">
        <v>0</v>
      </c>
      <c r="P16" s="44" t="n">
        <v>106</v>
      </c>
      <c r="Q16" s="44" t="n">
        <v>82.7</v>
      </c>
      <c r="R16" s="44" t="n"/>
      <c r="S16" s="44" t="n"/>
      <c r="T16" s="44" t="n"/>
      <c r="U16" s="44" t="n"/>
      <c r="V16" s="44" t="n">
        <v>8</v>
      </c>
      <c r="W16" s="44" t="n">
        <v>1</v>
      </c>
      <c r="X16" s="44" t="n">
        <v>100.9</v>
      </c>
      <c r="Y16" s="44" t="n">
        <v>79</v>
      </c>
      <c r="Z16" s="44" t="n">
        <v>7</v>
      </c>
      <c r="AA16" s="44" t="n">
        <v>1</v>
      </c>
      <c r="AB16" s="44" t="n">
        <v>97.59999999999999</v>
      </c>
      <c r="AC16" s="44" t="n">
        <v>75.09999999999999</v>
      </c>
      <c r="AD16" s="44" t="n">
        <v>7</v>
      </c>
      <c r="AE16" s="44" t="n">
        <v>1</v>
      </c>
      <c r="AF16" s="44" t="n">
        <v>94.7</v>
      </c>
      <c r="AG16" s="44" t="n">
        <v>74.40000000000001</v>
      </c>
      <c r="AH16" s="44" t="n">
        <v>9</v>
      </c>
      <c r="AI16" s="44" t="n">
        <v>1</v>
      </c>
      <c r="AJ16" s="44" t="n">
        <v>99.40000000000001</v>
      </c>
      <c r="AK16" s="44" t="n">
        <v>81.09999999999999</v>
      </c>
      <c r="AL16" s="44" t="n">
        <v>8</v>
      </c>
      <c r="AM16" s="44" t="n">
        <v>1</v>
      </c>
      <c r="AN16" s="44" t="n">
        <v>95.5</v>
      </c>
      <c r="AO16" s="44" t="n">
        <v>77.5</v>
      </c>
    </row>
    <row r="17" ht="15" customHeight="1" s="22">
      <c r="A17" s="28" t="inlineStr">
        <is>
          <t>Scapparone, Nicolás</t>
        </is>
      </c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>
        <v>1</v>
      </c>
      <c r="AE17" s="44" t="n">
        <v>0</v>
      </c>
      <c r="AF17" s="44" t="n">
        <v>105</v>
      </c>
      <c r="AG17" s="44" t="n">
        <v>83</v>
      </c>
      <c r="AH17" s="44" t="n">
        <v>5</v>
      </c>
      <c r="AI17" s="44" t="n">
        <v>0</v>
      </c>
      <c r="AJ17" s="44" t="n">
        <v>99.8</v>
      </c>
      <c r="AK17" s="44" t="n">
        <v>77.8</v>
      </c>
      <c r="AL17" s="44" t="n">
        <v>5</v>
      </c>
      <c r="AM17" s="44" t="n">
        <v>0</v>
      </c>
      <c r="AN17" s="44" t="n">
        <v>99</v>
      </c>
      <c r="AO17" s="44" t="n">
        <v>81</v>
      </c>
    </row>
    <row r="18" ht="15" customHeight="1" s="22">
      <c r="A18" s="28" t="inlineStr">
        <is>
          <t>Fernandez, Lucas</t>
        </is>
      </c>
      <c r="B18" s="44" t="n"/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>
        <v>8</v>
      </c>
      <c r="W18" s="44" t="n">
        <v>0</v>
      </c>
      <c r="X18" s="44" t="n">
        <v>103.5</v>
      </c>
      <c r="Y18" s="44" t="n">
        <v>77.5</v>
      </c>
      <c r="Z18" s="44" t="n">
        <v>6</v>
      </c>
      <c r="AA18" s="44" t="n">
        <v>0</v>
      </c>
      <c r="AB18" s="44" t="n">
        <v>104.5</v>
      </c>
      <c r="AC18" s="44" t="n">
        <v>83.5</v>
      </c>
      <c r="AD18" s="44" t="n">
        <v>6</v>
      </c>
      <c r="AE18" s="44" t="n">
        <v>0</v>
      </c>
      <c r="AF18" s="44" t="n">
        <v>100.5</v>
      </c>
      <c r="AG18" s="44" t="n">
        <v>79.5</v>
      </c>
      <c r="AH18" s="44" t="n">
        <v>7</v>
      </c>
      <c r="AI18" s="44" t="n">
        <v>1</v>
      </c>
      <c r="AJ18" s="44" t="n">
        <v>101.1</v>
      </c>
      <c r="AK18" s="44" t="n">
        <v>79</v>
      </c>
      <c r="AL18" s="44" t="n">
        <v>10</v>
      </c>
      <c r="AM18" s="44" t="n">
        <v>1</v>
      </c>
      <c r="AN18" s="44" t="n">
        <v>98.40000000000001</v>
      </c>
      <c r="AO18" s="44" t="n">
        <v>78.59999999999999</v>
      </c>
    </row>
    <row r="19" ht="15" customHeight="1" s="22">
      <c r="A19" s="28" t="inlineStr">
        <is>
          <t>Gatto, Alejandro</t>
        </is>
      </c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  <c r="AE19" s="44" t="n"/>
      <c r="AF19" s="44" t="n"/>
      <c r="AG19" s="44" t="n"/>
      <c r="AH19" s="44" t="n"/>
      <c r="AI19" s="44" t="n"/>
      <c r="AJ19" s="44" t="n"/>
      <c r="AK19" s="44" t="n"/>
      <c r="AL19" s="44" t="n"/>
      <c r="AM19" s="44" t="n"/>
      <c r="AN19" s="44" t="n"/>
      <c r="AO19" s="44" t="n"/>
    </row>
    <row r="20" ht="15" customHeight="1" s="22">
      <c r="A20" s="28" t="inlineStr">
        <is>
          <t>Canónico, Nacho</t>
        </is>
      </c>
      <c r="B20" s="44" t="n">
        <v>4</v>
      </c>
      <c r="C20" s="44" t="n">
        <v>1</v>
      </c>
      <c r="D20" s="44" t="n">
        <v>100.7</v>
      </c>
      <c r="E20" s="44" t="n"/>
      <c r="F20" s="44" t="n">
        <v>5</v>
      </c>
      <c r="G20" s="44" t="n">
        <v>0</v>
      </c>
      <c r="H20" s="44" t="n">
        <v>102.8</v>
      </c>
      <c r="I20" s="44" t="n">
        <v>80.2</v>
      </c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  <c r="AE20" s="44" t="n"/>
      <c r="AF20" s="44" t="n"/>
      <c r="AG20" s="44" t="n"/>
      <c r="AH20" s="44" t="n"/>
      <c r="AI20" s="44" t="n"/>
      <c r="AJ20" s="44" t="n"/>
      <c r="AK20" s="44" t="n"/>
      <c r="AL20" s="44" t="n"/>
      <c r="AM20" s="44" t="n"/>
      <c r="AN20" s="44" t="n"/>
      <c r="AO20" s="44" t="n"/>
    </row>
    <row r="21" ht="15" customHeight="1" s="22">
      <c r="A21" s="28" t="inlineStr">
        <is>
          <t>Nielsen, Juanchi</t>
        </is>
      </c>
      <c r="B21" s="44" t="n">
        <v>4</v>
      </c>
      <c r="C21" s="44" t="n">
        <v>0</v>
      </c>
      <c r="D21" s="44" t="n">
        <v>108.3</v>
      </c>
      <c r="E21" s="44" t="n"/>
      <c r="F21" s="44" t="n">
        <v>5</v>
      </c>
      <c r="G21" s="44" t="n">
        <v>0</v>
      </c>
      <c r="H21" s="44" t="n">
        <v>103.4</v>
      </c>
      <c r="I21" s="44" t="n">
        <v>83.2</v>
      </c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  <c r="AE21" s="44" t="n"/>
      <c r="AF21" s="44" t="n"/>
      <c r="AG21" s="44" t="n"/>
      <c r="AH21" s="44" t="n"/>
      <c r="AI21" s="44" t="n"/>
      <c r="AJ21" s="44" t="n"/>
      <c r="AK21" s="44" t="n"/>
      <c r="AL21" s="44" t="n"/>
      <c r="AM21" s="44" t="n"/>
      <c r="AN21" s="44" t="n"/>
      <c r="AO21" s="44" t="n"/>
    </row>
    <row r="22" ht="15" customHeight="1" s="22">
      <c r="A22" s="28" t="inlineStr">
        <is>
          <t>Copello, Santi</t>
        </is>
      </c>
      <c r="B22" s="44" t="n"/>
      <c r="C22" s="44" t="n"/>
      <c r="D22" s="44" t="n"/>
      <c r="E22" s="44" t="n"/>
      <c r="F22" s="44" t="n">
        <v>8</v>
      </c>
      <c r="G22" s="44" t="n">
        <v>0</v>
      </c>
      <c r="H22" s="44" t="n">
        <v>97.5</v>
      </c>
      <c r="I22" s="44" t="n">
        <v>73.09999999999999</v>
      </c>
      <c r="J22" s="44" t="n"/>
      <c r="K22" s="44" t="n"/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  <c r="AE22" s="44" t="n"/>
      <c r="AF22" s="44" t="n"/>
      <c r="AG22" s="44" t="n"/>
      <c r="AH22" s="44" t="n"/>
      <c r="AI22" s="44" t="n"/>
      <c r="AJ22" s="44" t="n"/>
      <c r="AK22" s="44" t="n"/>
      <c r="AL22" s="44" t="n"/>
      <c r="AM22" s="44" t="n"/>
      <c r="AN22" s="44" t="n"/>
      <c r="AO22" s="44" t="n"/>
    </row>
    <row r="23" ht="15" customHeight="1" s="22">
      <c r="A23" s="28" t="inlineStr">
        <is>
          <t>Delger, Martin</t>
        </is>
      </c>
      <c r="B23" s="44" t="n"/>
      <c r="C23" s="44" t="n"/>
      <c r="D23" s="44" t="n"/>
      <c r="E23" s="44" t="n"/>
      <c r="F23" s="44" t="n">
        <v>5</v>
      </c>
      <c r="G23" s="44" t="n">
        <v>0</v>
      </c>
      <c r="H23" s="44" t="n">
        <v>105.4</v>
      </c>
      <c r="I23" s="44" t="n">
        <v>80.40000000000001</v>
      </c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  <c r="AE23" s="44" t="n"/>
      <c r="AF23" s="44" t="n"/>
      <c r="AG23" s="44" t="n"/>
      <c r="AH23" s="44" t="n"/>
      <c r="AI23" s="44" t="n"/>
      <c r="AJ23" s="44" t="n"/>
      <c r="AK23" s="44" t="n"/>
      <c r="AL23" s="44" t="n"/>
      <c r="AM23" s="44" t="n"/>
      <c r="AN23" s="44" t="n"/>
      <c r="AO23" s="44" t="n"/>
    </row>
    <row r="24" ht="15" customHeight="1" s="22">
      <c r="A24" s="28" t="inlineStr">
        <is>
          <t>Señorans, Julio</t>
        </is>
      </c>
      <c r="B24" s="44" t="n"/>
      <c r="C24" s="44" t="n"/>
      <c r="D24" s="44" t="n"/>
      <c r="E24" s="44" t="n"/>
      <c r="F24" s="44" t="n">
        <v>6</v>
      </c>
      <c r="G24" s="44" t="n">
        <v>0</v>
      </c>
      <c r="H24" s="44" t="n">
        <v>98.3</v>
      </c>
      <c r="I24" s="44" t="n">
        <v>84.3</v>
      </c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4" t="n"/>
      <c r="AF24" s="44" t="n"/>
      <c r="AG24" s="44" t="n"/>
      <c r="AH24" s="44" t="n"/>
      <c r="AI24" s="44" t="n"/>
      <c r="AJ24" s="44" t="n"/>
      <c r="AK24" s="44" t="n"/>
      <c r="AL24" s="44" t="n"/>
      <c r="AM24" s="44" t="n"/>
      <c r="AN24" s="44" t="n"/>
      <c r="AO24" s="44" t="n"/>
    </row>
    <row r="25" ht="15" customHeight="1" s="22">
      <c r="A25" s="28" t="inlineStr">
        <is>
          <t>Sánchez Ricoy, Jorge</t>
        </is>
      </c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>
        <v>2</v>
      </c>
      <c r="O25" s="44" t="n">
        <v>1</v>
      </c>
      <c r="P25" s="44" t="n">
        <v>93</v>
      </c>
      <c r="Q25" s="44" t="n">
        <v>70</v>
      </c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  <c r="AE25" s="44" t="n"/>
      <c r="AF25" s="44" t="n"/>
      <c r="AG25" s="44" t="n"/>
      <c r="AH25" s="44" t="n"/>
      <c r="AI25" s="44" t="n"/>
      <c r="AJ25" s="44" t="n"/>
      <c r="AK25" s="44" t="n"/>
      <c r="AL25" s="44" t="n"/>
      <c r="AM25" s="44" t="n"/>
      <c r="AN25" s="44" t="n"/>
      <c r="AO25" s="44" t="n"/>
    </row>
    <row r="26" ht="15" customHeight="1" s="22">
      <c r="A26" s="28" t="inlineStr">
        <is>
          <t>Hack, Federico</t>
        </is>
      </c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>
        <v>1</v>
      </c>
      <c r="O26" s="44" t="n">
        <v>0</v>
      </c>
      <c r="P26" s="44" t="n">
        <v>103</v>
      </c>
      <c r="Q26" s="44" t="n">
        <v>82</v>
      </c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  <c r="AE26" s="44" t="n"/>
      <c r="AF26" s="44" t="n"/>
      <c r="AG26" s="44" t="n"/>
      <c r="AH26" s="44" t="n"/>
      <c r="AI26" s="44" t="n"/>
      <c r="AJ26" s="44" t="n"/>
      <c r="AK26" s="44" t="n"/>
      <c r="AL26" s="44" t="n"/>
      <c r="AM26" s="44" t="n"/>
      <c r="AN26" s="44" t="n"/>
      <c r="AO26" s="44" t="n"/>
    </row>
    <row r="27" ht="15" customHeight="1" s="22">
      <c r="A27" s="28" t="inlineStr">
        <is>
          <t>Abreu, Santiago</t>
        </is>
      </c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  <c r="AE27" s="44" t="n"/>
      <c r="AF27" s="44" t="n"/>
      <c r="AG27" s="44" t="n"/>
      <c r="AH27" s="44" t="n"/>
      <c r="AI27" s="44" t="n"/>
      <c r="AJ27" s="44" t="n"/>
      <c r="AK27" s="44" t="n"/>
      <c r="AL27" s="44" t="n"/>
      <c r="AM27" s="44" t="n"/>
      <c r="AN27" s="44" t="n"/>
      <c r="AO27" s="44" t="n"/>
    </row>
    <row r="28" ht="15" customHeight="1" s="22">
      <c r="A28" s="28" t="inlineStr">
        <is>
          <t>Miceli, Julian (INV)</t>
        </is>
      </c>
      <c r="B28" s="44" t="n"/>
      <c r="C28" s="44" t="n"/>
      <c r="D28" s="44" t="n"/>
      <c r="E28" s="44" t="n"/>
      <c r="F28" s="44" t="n"/>
      <c r="G28" s="44" t="n"/>
      <c r="H28" s="44" t="n"/>
      <c r="I28" s="44" t="n"/>
      <c r="J28" s="44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>
        <v>3</v>
      </c>
      <c r="W28" s="44" t="n">
        <v>1</v>
      </c>
      <c r="X28" s="44" t="n">
        <v>94.7</v>
      </c>
      <c r="Y28" s="44" t="n">
        <v>74.3</v>
      </c>
      <c r="Z28" s="44" t="n">
        <v>1</v>
      </c>
      <c r="AA28" s="44" t="n">
        <v>0</v>
      </c>
      <c r="AB28" s="44" t="n">
        <v>99</v>
      </c>
      <c r="AC28" s="44" t="n">
        <v>80</v>
      </c>
      <c r="AD28" s="44" t="n"/>
      <c r="AE28" s="44" t="n"/>
      <c r="AF28" s="44" t="n"/>
      <c r="AG28" s="44" t="n"/>
      <c r="AH28" s="44" t="n"/>
      <c r="AI28" s="44" t="n"/>
      <c r="AJ28" s="44" t="n"/>
      <c r="AK28" s="44" t="n"/>
      <c r="AL28" s="44" t="n"/>
      <c r="AM28" s="44" t="n"/>
      <c r="AN28" s="44" t="n"/>
      <c r="AO28" s="44" t="n"/>
    </row>
    <row r="29" ht="15" customHeight="1" s="22">
      <c r="A29" s="28" t="inlineStr">
        <is>
          <t>Miranda, Francisco</t>
        </is>
      </c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>
        <v>1</v>
      </c>
      <c r="W29" s="44" t="n">
        <v>0</v>
      </c>
      <c r="X29" s="44" t="n">
        <v>92</v>
      </c>
      <c r="Y29" s="44" t="n">
        <v>77</v>
      </c>
      <c r="Z29" s="44" t="n"/>
      <c r="AA29" s="44" t="n"/>
      <c r="AB29" s="44" t="n"/>
      <c r="AC29" s="44" t="n"/>
      <c r="AD29" s="44" t="n"/>
      <c r="AE29" s="44" t="n"/>
      <c r="AF29" s="44" t="n"/>
      <c r="AG29" s="44" t="n"/>
      <c r="AH29" s="44" t="n"/>
      <c r="AI29" s="44" t="n"/>
      <c r="AJ29" s="44" t="n"/>
      <c r="AK29" s="44" t="n"/>
      <c r="AL29" s="44" t="n"/>
      <c r="AM29" s="44" t="n"/>
      <c r="AN29" s="44" t="n"/>
      <c r="AO29" s="44" t="n"/>
    </row>
    <row r="30" ht="15" customHeight="1" s="22">
      <c r="A30" s="28" t="inlineStr">
        <is>
          <t>Diaz Andrade, Juampi</t>
        </is>
      </c>
      <c r="B30" s="44" t="n"/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>
        <v>4</v>
      </c>
      <c r="AA30" s="44" t="n">
        <v>0</v>
      </c>
      <c r="AB30" s="44" t="n">
        <v>112</v>
      </c>
      <c r="AC30" s="44" t="n">
        <v>87</v>
      </c>
      <c r="AD30" s="44" t="n"/>
      <c r="AE30" s="44" t="n"/>
      <c r="AF30" s="44" t="n"/>
      <c r="AG30" s="44" t="n"/>
      <c r="AH30" s="44" t="n"/>
      <c r="AI30" s="44" t="n"/>
      <c r="AJ30" s="44" t="n"/>
      <c r="AK30" s="44" t="n"/>
      <c r="AL30" s="44" t="n"/>
      <c r="AM30" s="44" t="n"/>
      <c r="AN30" s="44" t="n"/>
      <c r="AO30" s="44" t="n"/>
    </row>
    <row r="31" ht="15" customHeight="1" s="22">
      <c r="A31" s="28" t="inlineStr">
        <is>
          <t>Perez A., Nacho</t>
        </is>
      </c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>
        <v>2</v>
      </c>
      <c r="AA31" s="44" t="n">
        <v>0</v>
      </c>
      <c r="AB31" s="44" t="n">
        <v>90</v>
      </c>
      <c r="AC31" s="44" t="n">
        <v>70.5</v>
      </c>
      <c r="AD31" s="44" t="n">
        <v>6</v>
      </c>
      <c r="AE31" s="44" t="n">
        <v>1</v>
      </c>
      <c r="AF31" s="44" t="n">
        <v>93.5</v>
      </c>
      <c r="AG31" s="44" t="n">
        <v>76.3</v>
      </c>
      <c r="AH31" s="44" t="n"/>
      <c r="AI31" s="44" t="n"/>
      <c r="AJ31" s="44" t="n"/>
      <c r="AK31" s="44" t="n"/>
      <c r="AL31" s="44" t="n"/>
      <c r="AM31" s="44" t="n"/>
      <c r="AN31" s="44" t="n"/>
      <c r="AO31" s="44" t="n"/>
    </row>
    <row r="32" ht="15" customHeight="1" s="22">
      <c r="A32" s="28" t="inlineStr">
        <is>
          <t>Lavalle, Joaquin</t>
        </is>
      </c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44" t="n"/>
      <c r="X32" s="44" t="n"/>
      <c r="Y32" s="44" t="n"/>
      <c r="Z32" s="44" t="n">
        <v>1</v>
      </c>
      <c r="AA32" s="44" t="n">
        <v>0</v>
      </c>
      <c r="AB32" s="44" t="n">
        <v>85</v>
      </c>
      <c r="AC32" s="44" t="n">
        <v>79</v>
      </c>
      <c r="AD32" s="44" t="n"/>
      <c r="AE32" s="44" t="n"/>
      <c r="AF32" s="44" t="n"/>
      <c r="AG32" s="44" t="n"/>
      <c r="AH32" s="44" t="n"/>
      <c r="AI32" s="44" t="n"/>
      <c r="AJ32" s="44" t="n"/>
      <c r="AK32" s="44" t="n"/>
      <c r="AL32" s="44" t="n"/>
      <c r="AM32" s="44" t="n"/>
      <c r="AN32" s="44" t="n"/>
      <c r="AO32" s="44" t="n"/>
    </row>
    <row r="33" ht="15" customHeight="1" s="22">
      <c r="A33" s="28" t="inlineStr">
        <is>
          <t>Uribelarrea, Rafael (INV)</t>
        </is>
      </c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  <c r="AE33" s="44" t="n"/>
      <c r="AF33" s="44" t="n"/>
      <c r="AG33" s="44" t="n"/>
      <c r="AH33" s="44" t="n">
        <v>2</v>
      </c>
      <c r="AI33" s="44" t="n">
        <v>0</v>
      </c>
      <c r="AJ33" s="44" t="n">
        <v>102.5</v>
      </c>
      <c r="AK33" s="44" t="n">
        <v>83.5</v>
      </c>
      <c r="AL33" s="44" t="n"/>
      <c r="AM33" s="44" t="n"/>
      <c r="AN33" s="44" t="n"/>
      <c r="AO33" s="44" t="n"/>
    </row>
    <row r="34" ht="15" customHeight="1" s="22">
      <c r="A34" s="28" t="inlineStr">
        <is>
          <t>Robles, Juancho</t>
        </is>
      </c>
      <c r="B34" s="44" t="n"/>
      <c r="C34" s="44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  <c r="AE34" s="44" t="n"/>
      <c r="AF34" s="44" t="n"/>
      <c r="AG34" s="44" t="n"/>
      <c r="AH34" s="44" t="n">
        <v>4</v>
      </c>
      <c r="AI34" s="44" t="n">
        <v>2</v>
      </c>
      <c r="AJ34" s="44" t="n">
        <v>87.8</v>
      </c>
      <c r="AK34" s="44" t="n">
        <v>72.5</v>
      </c>
      <c r="AL34" s="44" t="n">
        <v>3</v>
      </c>
      <c r="AM34" s="44" t="n">
        <v>0</v>
      </c>
      <c r="AN34" s="44" t="n">
        <v>89</v>
      </c>
      <c r="AO34" s="44" t="n">
        <v>77.3</v>
      </c>
    </row>
    <row r="35" ht="15" customHeight="1" s="22">
      <c r="A35" s="28" t="inlineStr">
        <is>
          <t>Alfonso, Juani</t>
        </is>
      </c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  <c r="AE35" s="44" t="n"/>
      <c r="AF35" s="44" t="n"/>
      <c r="AG35" s="44" t="n"/>
      <c r="AH35" s="44" t="n">
        <v>4</v>
      </c>
      <c r="AI35" s="44" t="n">
        <v>0</v>
      </c>
      <c r="AJ35" s="44" t="n">
        <v>110.8</v>
      </c>
      <c r="AK35" s="44" t="n">
        <v>84.8</v>
      </c>
      <c r="AL35" s="44" t="n">
        <v>2</v>
      </c>
      <c r="AM35" s="44" t="n">
        <v>0</v>
      </c>
      <c r="AN35" s="44" t="n">
        <v>98</v>
      </c>
      <c r="AO35" s="44" t="n">
        <v>75.5</v>
      </c>
    </row>
    <row r="36" ht="15" customHeight="1" s="22">
      <c r="A36" s="28" t="inlineStr">
        <is>
          <t>Troncoso, Tati</t>
        </is>
      </c>
      <c r="B36" s="44" t="n"/>
      <c r="C36" s="44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  <c r="AE36" s="44" t="n"/>
      <c r="AF36" s="44" t="n"/>
      <c r="AG36" s="44" t="n"/>
      <c r="AH36" s="44" t="n">
        <v>1</v>
      </c>
      <c r="AI36" s="44" t="n">
        <v>0</v>
      </c>
      <c r="AJ36" s="44" t="n">
        <v>92</v>
      </c>
      <c r="AK36" s="44" t="n">
        <v>82</v>
      </c>
      <c r="AL36" s="44" t="n"/>
      <c r="AM36" s="44" t="n"/>
      <c r="AN36" s="44" t="n"/>
      <c r="AO36" s="44" t="n"/>
    </row>
    <row r="37" ht="15" customHeight="1" s="22">
      <c r="A37" s="28" t="inlineStr">
        <is>
          <t>Hector, Gatto</t>
        </is>
      </c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>
        <v>3</v>
      </c>
      <c r="K37" s="44" t="n">
        <v>1</v>
      </c>
      <c r="L37" s="44" t="n">
        <v>90</v>
      </c>
      <c r="M37" s="44" t="n">
        <v>77</v>
      </c>
      <c r="N37" s="44" t="n">
        <v>2</v>
      </c>
      <c r="O37" s="44" t="n">
        <v>0</v>
      </c>
      <c r="P37" s="44" t="n">
        <v>96.5</v>
      </c>
      <c r="Q37" s="44" t="n">
        <v>84.5</v>
      </c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>
        <v>1</v>
      </c>
      <c r="AA37" s="44" t="n">
        <v>1</v>
      </c>
      <c r="AB37" s="44" t="n">
        <v>83</v>
      </c>
      <c r="AC37" s="44" t="n">
        <v>67</v>
      </c>
      <c r="AD37" s="44" t="n"/>
      <c r="AE37" s="44" t="n"/>
      <c r="AF37" s="44" t="n"/>
      <c r="AG37" s="44" t="n"/>
      <c r="AH37" s="44" t="n">
        <v>2</v>
      </c>
      <c r="AI37" s="44" t="n">
        <v>0</v>
      </c>
      <c r="AJ37" s="44" t="n">
        <v>89</v>
      </c>
      <c r="AK37" s="44" t="n">
        <v>74.5</v>
      </c>
      <c r="AL37" s="44" t="n">
        <v>2</v>
      </c>
      <c r="AM37" s="44" t="n">
        <v>0</v>
      </c>
      <c r="AN37" s="44" t="n">
        <v>89.5</v>
      </c>
      <c r="AO37" s="44" t="n">
        <v>77.5</v>
      </c>
    </row>
    <row r="38" ht="15" customHeight="1" s="22">
      <c r="A38" s="28" t="inlineStr">
        <is>
          <t>Basaldua, Javier</t>
        </is>
      </c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44" t="n">
        <v>1</v>
      </c>
      <c r="AI38" s="44" t="n">
        <v>0</v>
      </c>
      <c r="AJ38" s="44" t="n">
        <v>82</v>
      </c>
      <c r="AK38" s="44" t="n">
        <v>71</v>
      </c>
      <c r="AL38" s="44" t="n"/>
      <c r="AM38" s="44" t="n"/>
      <c r="AN38" s="44" t="n"/>
      <c r="AO38" s="44" t="n"/>
    </row>
    <row r="39" ht="15" customHeight="1" s="22">
      <c r="A39" s="28" t="inlineStr">
        <is>
          <t>Vigil, Tomas</t>
        </is>
      </c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44" t="n"/>
      <c r="AJ39" s="44" t="n"/>
      <c r="AK39" s="44" t="n"/>
      <c r="AL39" s="44" t="n">
        <v>1</v>
      </c>
      <c r="AM39" s="44" t="n">
        <v>0</v>
      </c>
      <c r="AN39" s="44" t="n">
        <v>95</v>
      </c>
      <c r="AO39" s="44" t="n">
        <v>77</v>
      </c>
    </row>
  </sheetData>
  <mergeCells count="10">
    <mergeCell ref="AH1:AK1"/>
    <mergeCell ref="B1:E1"/>
    <mergeCell ref="F1:I1"/>
    <mergeCell ref="R1:U1"/>
    <mergeCell ref="N1:Q1"/>
    <mergeCell ref="AD1:AG1"/>
    <mergeCell ref="V1:Y1"/>
    <mergeCell ref="Z1:AC1"/>
    <mergeCell ref="AL1:AO1"/>
    <mergeCell ref="J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0" zeroHeight="0" outlineLevelRow="0"/>
  <cols>
    <col width="14" customWidth="1" style="21" min="1" max="1"/>
    <col width="24" customWidth="1" style="21" min="2" max="2"/>
    <col width="12" customWidth="1" style="21" min="3" max="4"/>
    <col width="14" customWidth="1" style="21" min="5" max="5"/>
  </cols>
  <sheetData>
    <row r="1" ht="21.75" customHeight="1" s="22">
      <c r="A1" s="27" t="inlineStr">
        <is>
          <t>ID</t>
        </is>
      </c>
      <c r="B1" s="27" t="inlineStr">
        <is>
          <t>Nombre completo</t>
        </is>
      </c>
      <c r="C1" s="27" t="inlineStr">
        <is>
          <t>Sobrenombre</t>
        </is>
      </c>
      <c r="D1" s="27" t="inlineStr">
        <is>
          <t>Equipo</t>
        </is>
      </c>
      <c r="E1" s="27" t="inlineStr">
        <is>
          <t>Hdcp default</t>
        </is>
      </c>
    </row>
    <row r="2" ht="15" customHeight="1" s="22">
      <c r="A2" s="28" t="inlineStr">
        <is>
          <t>gonzalez</t>
        </is>
      </c>
      <c r="B2" s="28" t="inlineStr">
        <is>
          <t>Gonzalez, Agus</t>
        </is>
      </c>
      <c r="C2" s="28" t="inlineStr">
        <is>
          <t>Agus</t>
        </is>
      </c>
      <c r="D2" s="29" t="inlineStr">
        <is>
          <t>GRIS</t>
        </is>
      </c>
      <c r="E2" s="29" t="n">
        <v>8</v>
      </c>
    </row>
    <row r="3" ht="15" customHeight="1" s="22">
      <c r="A3" s="28" t="inlineStr">
        <is>
          <t>tarasido</t>
        </is>
      </c>
      <c r="B3" s="28" t="inlineStr">
        <is>
          <t>Tarasido, Gonzalo</t>
        </is>
      </c>
      <c r="C3" s="28" t="inlineStr">
        <is>
          <t>Gonzalo</t>
        </is>
      </c>
      <c r="D3" s="29" t="inlineStr">
        <is>
          <t>GRIS</t>
        </is>
      </c>
      <c r="E3" s="29" t="n">
        <v>11</v>
      </c>
    </row>
    <row r="4" ht="15" customHeight="1" s="22">
      <c r="A4" s="28" t="inlineStr">
        <is>
          <t>zunino</t>
        </is>
      </c>
      <c r="B4" s="28" t="inlineStr">
        <is>
          <t>Zunino, Javi</t>
        </is>
      </c>
      <c r="C4" s="28" t="inlineStr">
        <is>
          <t>Javi</t>
        </is>
      </c>
      <c r="D4" s="29" t="inlineStr">
        <is>
          <t>GRIS</t>
        </is>
      </c>
      <c r="E4" s="29" t="n">
        <v>14</v>
      </c>
    </row>
    <row r="5" ht="15" customHeight="1" s="22">
      <c r="A5" s="28" t="inlineStr">
        <is>
          <t>basaldua</t>
        </is>
      </c>
      <c r="B5" s="28" t="inlineStr">
        <is>
          <t>Basaldua, Ignacio</t>
        </is>
      </c>
      <c r="C5" s="28" t="inlineStr">
        <is>
          <t>Nacho</t>
        </is>
      </c>
      <c r="D5" s="29" t="inlineStr">
        <is>
          <t>GRIS</t>
        </is>
      </c>
      <c r="E5" s="29" t="n">
        <v>16</v>
      </c>
    </row>
    <row r="6" ht="15" customHeight="1" s="22">
      <c r="A6" s="28" t="inlineStr">
        <is>
          <t>pannullo</t>
        </is>
      </c>
      <c r="B6" s="28" t="inlineStr">
        <is>
          <t>Pannullo, Tincho</t>
        </is>
      </c>
      <c r="C6" s="28" t="inlineStr">
        <is>
          <t>Tincho</t>
        </is>
      </c>
      <c r="D6" s="29" t="inlineStr">
        <is>
          <t>GRIS</t>
        </is>
      </c>
      <c r="E6" s="29" t="n">
        <v>15</v>
      </c>
    </row>
    <row r="7" ht="15" customHeight="1" s="22">
      <c r="A7" s="28" t="inlineStr">
        <is>
          <t>benegas</t>
        </is>
      </c>
      <c r="B7" s="28" t="inlineStr">
        <is>
          <t>Benegas, Pancho</t>
        </is>
      </c>
      <c r="C7" s="28" t="inlineStr">
        <is>
          <t>Pancho</t>
        </is>
      </c>
      <c r="D7" s="29" t="inlineStr">
        <is>
          <t>GRIS</t>
        </is>
      </c>
      <c r="E7" s="29" t="n">
        <v>21</v>
      </c>
    </row>
    <row r="8" ht="15" customHeight="1" s="22">
      <c r="A8" s="28" t="inlineStr">
        <is>
          <t>guevara</t>
        </is>
      </c>
      <c r="B8" s="28" t="inlineStr">
        <is>
          <t>Guevara, Franki</t>
        </is>
      </c>
      <c r="C8" s="28" t="inlineStr">
        <is>
          <t>Franki</t>
        </is>
      </c>
      <c r="D8" s="29" t="inlineStr">
        <is>
          <t>GRIS</t>
        </is>
      </c>
      <c r="E8" s="29" t="n">
        <v>18</v>
      </c>
    </row>
    <row r="9" ht="15" customHeight="1" s="22">
      <c r="A9" s="28" t="inlineStr">
        <is>
          <t>dipaola</t>
        </is>
      </c>
      <c r="B9" s="28" t="inlineStr">
        <is>
          <t>Dipaola, Martin</t>
        </is>
      </c>
      <c r="C9" s="28" t="inlineStr">
        <is>
          <t>Martin</t>
        </is>
      </c>
      <c r="D9" s="29" t="inlineStr">
        <is>
          <t>GRIS</t>
        </is>
      </c>
      <c r="E9" s="29" t="n">
        <v>22</v>
      </c>
    </row>
    <row r="10" ht="15" customHeight="1" s="22">
      <c r="A10" s="28" t="inlineStr">
        <is>
          <t>gatto</t>
        </is>
      </c>
      <c r="B10" s="28" t="inlineStr">
        <is>
          <t>Gatto, Mariano</t>
        </is>
      </c>
      <c r="C10" s="28" t="inlineStr">
        <is>
          <t>Mariano</t>
        </is>
      </c>
      <c r="D10" s="29" t="inlineStr">
        <is>
          <t>ROJO</t>
        </is>
      </c>
      <c r="E10" s="29" t="n">
        <v>9</v>
      </c>
    </row>
    <row r="11" ht="15" customHeight="1" s="22">
      <c r="A11" s="28" t="inlineStr">
        <is>
          <t>elizalde</t>
        </is>
      </c>
      <c r="B11" s="28" t="inlineStr">
        <is>
          <t>Elizalde, Juancho</t>
        </is>
      </c>
      <c r="C11" s="28" t="inlineStr">
        <is>
          <t>Juancho</t>
        </is>
      </c>
      <c r="D11" s="29" t="inlineStr">
        <is>
          <t>ROJO</t>
        </is>
      </c>
      <c r="E11" s="29" t="n">
        <v>12</v>
      </c>
    </row>
    <row r="12" ht="15" customHeight="1" s="22">
      <c r="A12" s="28" t="inlineStr">
        <is>
          <t>canonico</t>
        </is>
      </c>
      <c r="B12" s="28" t="inlineStr">
        <is>
          <t>Canónico, Agus</t>
        </is>
      </c>
      <c r="C12" s="28" t="inlineStr">
        <is>
          <t>Cano</t>
        </is>
      </c>
      <c r="D12" s="29" t="inlineStr">
        <is>
          <t>ROJO</t>
        </is>
      </c>
      <c r="E12" s="29" t="n">
        <v>17</v>
      </c>
    </row>
    <row r="13" ht="15" customHeight="1" s="22">
      <c r="A13" s="28" t="inlineStr">
        <is>
          <t>vogelius</t>
        </is>
      </c>
      <c r="B13" s="28" t="inlineStr">
        <is>
          <t>Vogelius, Nico</t>
        </is>
      </c>
      <c r="C13" s="28" t="inlineStr">
        <is>
          <t>Nico</t>
        </is>
      </c>
      <c r="D13" s="29" t="inlineStr">
        <is>
          <t>ROJO</t>
        </is>
      </c>
      <c r="E13" s="29" t="n">
        <v>14</v>
      </c>
    </row>
    <row r="14" ht="15" customHeight="1" s="22">
      <c r="A14" s="28" t="inlineStr">
        <is>
          <t>mendez</t>
        </is>
      </c>
      <c r="B14" s="28" t="inlineStr">
        <is>
          <t>Mendez, Pato</t>
        </is>
      </c>
      <c r="C14" s="28" t="inlineStr">
        <is>
          <t>Pato</t>
        </is>
      </c>
      <c r="D14" s="29" t="inlineStr">
        <is>
          <t>ROJO</t>
        </is>
      </c>
      <c r="E14" s="29" t="n">
        <v>18</v>
      </c>
    </row>
    <row r="15" ht="15" customHeight="1" s="22">
      <c r="A15" s="28" t="inlineStr">
        <is>
          <t>molinario</t>
        </is>
      </c>
      <c r="B15" s="28" t="inlineStr">
        <is>
          <t>Molinario, Andy</t>
        </is>
      </c>
      <c r="C15" s="28" t="inlineStr">
        <is>
          <t>Andy</t>
        </is>
      </c>
      <c r="D15" s="29" t="inlineStr">
        <is>
          <t>ROJO</t>
        </is>
      </c>
      <c r="E15" s="29" t="n">
        <v>20</v>
      </c>
    </row>
    <row r="16" ht="15" customHeight="1" s="22">
      <c r="A16" s="28" t="inlineStr">
        <is>
          <t>scapparone</t>
        </is>
      </c>
      <c r="B16" s="28" t="inlineStr">
        <is>
          <t>Scapparone, Nico</t>
        </is>
      </c>
      <c r="C16" s="28" t="inlineStr">
        <is>
          <t>Nico S</t>
        </is>
      </c>
      <c r="D16" s="29" t="inlineStr">
        <is>
          <t>ROJO</t>
        </is>
      </c>
      <c r="E16" s="29" t="n">
        <v>16</v>
      </c>
    </row>
    <row r="17" ht="15" customHeight="1" s="22">
      <c r="A17" s="28" t="inlineStr">
        <is>
          <t>fernandez</t>
        </is>
      </c>
      <c r="B17" s="28" t="inlineStr">
        <is>
          <t>Fernandez, Lucas</t>
        </is>
      </c>
      <c r="C17" s="28" t="inlineStr">
        <is>
          <t>Lucas</t>
        </is>
      </c>
      <c r="D17" s="29" t="inlineStr">
        <is>
          <t>ROJO</t>
        </is>
      </c>
      <c r="E17" s="29" t="n">
        <v>21</v>
      </c>
    </row>
    <row r="18" ht="15" customHeight="1" s="22">
      <c r="A18" s="31" t="inlineStr">
        <is>
          <t>gatto_ale</t>
        </is>
      </c>
      <c r="B18" s="31" t="inlineStr">
        <is>
          <t>Gatto, Alejandro</t>
        </is>
      </c>
      <c r="C18" s="31" t="inlineStr">
        <is>
          <t>Ale</t>
        </is>
      </c>
      <c r="D18" s="32" t="inlineStr">
        <is>
          <t>SUPLENTE</t>
        </is>
      </c>
      <c r="E18" s="32" t="n">
        <v>14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2026-05-11T21:38:15Z</dcterms:created>
  <dcterms:modified xmlns:dcterms="http://purl.org/dc/terms/" xmlns:xsi="http://www.w3.org/2001/XMLSchema-instance" xsi:type="dcterms:W3CDTF">2026-08-18T16:12:07Z</dcterms:modified>
  <cp:lastModifiedBy>Francisco Benegas</cp:lastModifiedBy>
  <cp:revision>0</cp:revision>
</cp:coreProperties>
</file>