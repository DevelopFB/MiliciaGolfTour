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franciscobenegas/Desktop/CLAUDE/MGT historia/"/>
    </mc:Choice>
  </mc:AlternateContent>
  <xr:revisionPtr revIDLastSave="0" documentId="13_ncr:1_{AA738877-EA15-D046-BAAD-63AF42DC5C16}" xr6:coauthVersionLast="47" xr6:coauthVersionMax="47" xr10:uidLastSave="{00000000-0000-0000-0000-000000000000}"/>
  <bookViews>
    <workbookView xWindow="0" yWindow="600" windowWidth="33600" windowHeight="20400" activeTab="2" xr2:uid="{00000000-000D-0000-FFFF-FFFF00000000}"/>
  </bookViews>
  <sheets>
    <sheet name="F1" sheetId="1" r:id="rId1"/>
    <sheet name="F2" sheetId="2" r:id="rId2"/>
    <sheet name="F3" sheetId="3" r:id="rId3"/>
    <sheet name="Match" sheetId="4" r:id="rId4"/>
    <sheet name="Gross_Historial" sheetId="5" r:id="rId5"/>
    <sheet name="Medal_Calc" sheetId="6" r:id="rId6"/>
    <sheet name="Medal_Fechas" sheetId="7" r:id="rId7"/>
    <sheet name="Medal_Consolidado" sheetId="8" r:id="rId8"/>
    <sheet name="Fixture" sheetId="9" r:id="rId9"/>
    <sheet name="Historico" sheetId="10" r:id="rId10"/>
    <sheet name="Jugadore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1" l="1"/>
  <c r="J3" i="4"/>
  <c r="E18" i="8"/>
  <c r="D18" i="8"/>
  <c r="C18" i="8"/>
  <c r="F18" i="8" s="1"/>
  <c r="E17" i="8"/>
  <c r="D17" i="8"/>
  <c r="C17" i="8"/>
  <c r="F17" i="8" s="1"/>
  <c r="E16" i="8"/>
  <c r="D16" i="8"/>
  <c r="C16" i="8"/>
  <c r="F16" i="8" s="1"/>
  <c r="E15" i="8"/>
  <c r="D15" i="8"/>
  <c r="C15" i="8"/>
  <c r="F15" i="8" s="1"/>
  <c r="E14" i="8"/>
  <c r="D14" i="8"/>
  <c r="C14" i="8"/>
  <c r="F14" i="8" s="1"/>
  <c r="E13" i="8"/>
  <c r="D13" i="8"/>
  <c r="C13" i="8"/>
  <c r="F13" i="8" s="1"/>
  <c r="E12" i="8"/>
  <c r="D12" i="8"/>
  <c r="C12" i="8"/>
  <c r="F12" i="8" s="1"/>
  <c r="E11" i="8"/>
  <c r="D11" i="8"/>
  <c r="C11" i="8"/>
  <c r="F11" i="8" s="1"/>
  <c r="E10" i="8"/>
  <c r="D10" i="8"/>
  <c r="C10" i="8"/>
  <c r="F10" i="8" s="1"/>
  <c r="E9" i="8"/>
  <c r="D9" i="8"/>
  <c r="C9" i="8"/>
  <c r="F9" i="8" s="1"/>
  <c r="E8" i="8"/>
  <c r="D8" i="8"/>
  <c r="C8" i="8"/>
  <c r="F8" i="8" s="1"/>
  <c r="E7" i="8"/>
  <c r="D7" i="8"/>
  <c r="C7" i="8"/>
  <c r="F7" i="8" s="1"/>
  <c r="E6" i="8"/>
  <c r="D6" i="8"/>
  <c r="C6" i="8"/>
  <c r="F6" i="8" s="1"/>
  <c r="E5" i="8"/>
  <c r="D5" i="8"/>
  <c r="C5" i="8"/>
  <c r="F5" i="8" s="1"/>
  <c r="E4" i="8"/>
  <c r="D4" i="8"/>
  <c r="C4" i="8"/>
  <c r="F4" i="8" s="1"/>
  <c r="E3" i="8"/>
  <c r="D3" i="8"/>
  <c r="C3" i="8"/>
  <c r="F3" i="8" s="1"/>
  <c r="E2" i="8"/>
  <c r="D2" i="8"/>
  <c r="C2" i="8"/>
  <c r="F2" i="8" s="1"/>
  <c r="C17" i="5"/>
  <c r="G17" i="5" s="1"/>
  <c r="E16" i="5"/>
  <c r="D16" i="5"/>
  <c r="D5" i="5"/>
  <c r="E4" i="5"/>
  <c r="D4" i="5"/>
  <c r="E2" i="5"/>
  <c r="D2" i="5"/>
  <c r="I23" i="4"/>
  <c r="J22" i="4"/>
  <c r="J20" i="4"/>
  <c r="I20" i="4"/>
  <c r="J19" i="4"/>
  <c r="I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I22" i="4" s="1"/>
  <c r="J4" i="4"/>
  <c r="I4" i="4"/>
  <c r="I3" i="4"/>
  <c r="W22" i="3"/>
  <c r="U22" i="3"/>
  <c r="X22" i="3" s="1"/>
  <c r="X21" i="3"/>
  <c r="W21" i="3"/>
  <c r="U21" i="3"/>
  <c r="E18" i="5" s="1"/>
  <c r="W20" i="3"/>
  <c r="U20" i="3"/>
  <c r="E17" i="5" s="1"/>
  <c r="W19" i="3"/>
  <c r="U19" i="3"/>
  <c r="E15" i="5" s="1"/>
  <c r="W18" i="3"/>
  <c r="U18" i="3"/>
  <c r="E14" i="5" s="1"/>
  <c r="W17" i="3"/>
  <c r="U17" i="3"/>
  <c r="X17" i="3" s="1"/>
  <c r="W16" i="3"/>
  <c r="X16" i="3" s="1"/>
  <c r="U16" i="3"/>
  <c r="E12" i="5" s="1"/>
  <c r="W15" i="3"/>
  <c r="U15" i="3"/>
  <c r="E11" i="5" s="1"/>
  <c r="W14" i="3"/>
  <c r="U14" i="3"/>
  <c r="E10" i="5" s="1"/>
  <c r="X13" i="3"/>
  <c r="W13" i="3"/>
  <c r="U13" i="3"/>
  <c r="E9" i="5" s="1"/>
  <c r="W12" i="3"/>
  <c r="U12" i="3"/>
  <c r="E8" i="5" s="1"/>
  <c r="W11" i="3"/>
  <c r="U11" i="3"/>
  <c r="E7" i="5" s="1"/>
  <c r="W10" i="3"/>
  <c r="U10" i="3"/>
  <c r="E6" i="5" s="1"/>
  <c r="W9" i="3"/>
  <c r="U9" i="3"/>
  <c r="E5" i="5" s="1"/>
  <c r="W8" i="3"/>
  <c r="X8" i="3" s="1"/>
  <c r="U8" i="3"/>
  <c r="E3" i="5" s="1"/>
  <c r="W21" i="2"/>
  <c r="U21" i="2"/>
  <c r="X21" i="2" s="1"/>
  <c r="W20" i="2"/>
  <c r="U20" i="2"/>
  <c r="D18" i="5" s="1"/>
  <c r="X19" i="2"/>
  <c r="W19" i="2"/>
  <c r="U19" i="2"/>
  <c r="D17" i="5" s="1"/>
  <c r="W18" i="2"/>
  <c r="U18" i="2"/>
  <c r="D15" i="5" s="1"/>
  <c r="W17" i="2"/>
  <c r="U17" i="2"/>
  <c r="D14" i="5" s="1"/>
  <c r="W16" i="2"/>
  <c r="U16" i="2"/>
  <c r="D13" i="5" s="1"/>
  <c r="W15" i="2"/>
  <c r="U15" i="2"/>
  <c r="D12" i="5" s="1"/>
  <c r="W14" i="2"/>
  <c r="X14" i="2" s="1"/>
  <c r="U14" i="2"/>
  <c r="D11" i="5" s="1"/>
  <c r="W13" i="2"/>
  <c r="U13" i="2"/>
  <c r="X13" i="2" s="1"/>
  <c r="W12" i="2"/>
  <c r="U12" i="2"/>
  <c r="D9" i="5" s="1"/>
  <c r="X11" i="2"/>
  <c r="W11" i="2"/>
  <c r="U11" i="2"/>
  <c r="D8" i="5" s="1"/>
  <c r="W10" i="2"/>
  <c r="U10" i="2"/>
  <c r="D7" i="5" s="1"/>
  <c r="W9" i="2"/>
  <c r="U9" i="2"/>
  <c r="D6" i="5" s="1"/>
  <c r="W8" i="2"/>
  <c r="U8" i="2"/>
  <c r="D3" i="5" s="1"/>
  <c r="W22" i="1"/>
  <c r="U22" i="1"/>
  <c r="C16" i="5" s="1"/>
  <c r="W21" i="1"/>
  <c r="X21" i="1" s="1"/>
  <c r="U21" i="1"/>
  <c r="C15" i="5" s="1"/>
  <c r="W20" i="1"/>
  <c r="U20" i="1"/>
  <c r="C14" i="5" s="1"/>
  <c r="W19" i="1"/>
  <c r="U19" i="1"/>
  <c r="C13" i="5" s="1"/>
  <c r="X18" i="1"/>
  <c r="W18" i="1"/>
  <c r="U18" i="1"/>
  <c r="C12" i="5" s="1"/>
  <c r="W17" i="1"/>
  <c r="U17" i="1"/>
  <c r="C11" i="5" s="1"/>
  <c r="W16" i="1"/>
  <c r="U16" i="1"/>
  <c r="C10" i="5" s="1"/>
  <c r="W15" i="1"/>
  <c r="U15" i="1"/>
  <c r="C9" i="5" s="1"/>
  <c r="W14" i="1"/>
  <c r="U14" i="1"/>
  <c r="C8" i="5" s="1"/>
  <c r="W13" i="1"/>
  <c r="X13" i="1" s="1"/>
  <c r="U13" i="1"/>
  <c r="C7" i="5" s="1"/>
  <c r="W12" i="1"/>
  <c r="U12" i="1"/>
  <c r="C6" i="5" s="1"/>
  <c r="W11" i="1"/>
  <c r="U11" i="1"/>
  <c r="C5" i="5" s="1"/>
  <c r="X10" i="1"/>
  <c r="W10" i="1"/>
  <c r="U10" i="1"/>
  <c r="C4" i="5" s="1"/>
  <c r="W9" i="1"/>
  <c r="U9" i="1"/>
  <c r="C3" i="5" s="1"/>
  <c r="W8" i="1"/>
  <c r="U8" i="1"/>
  <c r="C2" i="5" s="1"/>
  <c r="X23" i="1" l="1"/>
  <c r="C18" i="5"/>
  <c r="G18" i="5" s="1"/>
  <c r="J23" i="4"/>
  <c r="F3" i="5"/>
  <c r="G3" i="5"/>
  <c r="G14" i="5"/>
  <c r="F14" i="5"/>
  <c r="G7" i="5"/>
  <c r="F7" i="5"/>
  <c r="F11" i="5"/>
  <c r="G11" i="5"/>
  <c r="G4" i="5"/>
  <c r="F4" i="5"/>
  <c r="G12" i="5"/>
  <c r="F12" i="5"/>
  <c r="G5" i="5"/>
  <c r="F5" i="5"/>
  <c r="F13" i="5"/>
  <c r="G15" i="5"/>
  <c r="F15" i="5"/>
  <c r="G8" i="5"/>
  <c r="F8" i="5"/>
  <c r="G16" i="5"/>
  <c r="F16" i="5"/>
  <c r="G9" i="5"/>
  <c r="F9" i="5"/>
  <c r="G2" i="5"/>
  <c r="F2" i="5"/>
  <c r="G6" i="5"/>
  <c r="F6" i="5"/>
  <c r="G10" i="5"/>
  <c r="F10" i="5"/>
  <c r="X8" i="1"/>
  <c r="X16" i="1"/>
  <c r="X9" i="2"/>
  <c r="X17" i="2"/>
  <c r="X11" i="3"/>
  <c r="X19" i="3"/>
  <c r="X19" i="1"/>
  <c r="X20" i="2"/>
  <c r="X14" i="3"/>
  <c r="X14" i="1"/>
  <c r="X22" i="1"/>
  <c r="X9" i="3"/>
  <c r="X9" i="1"/>
  <c r="X10" i="2"/>
  <c r="X18" i="2"/>
  <c r="X12" i="3"/>
  <c r="X20" i="3"/>
  <c r="D10" i="5"/>
  <c r="E13" i="5"/>
  <c r="G13" i="5" s="1"/>
  <c r="X17" i="1"/>
  <c r="X12" i="1"/>
  <c r="X20" i="1"/>
  <c r="X15" i="3"/>
  <c r="X11" i="1"/>
  <c r="X12" i="2"/>
  <c r="X15" i="2"/>
  <c r="X15" i="1"/>
  <c r="X8" i="2"/>
  <c r="X16" i="2"/>
  <c r="X10" i="3"/>
  <c r="X18" i="3"/>
  <c r="F17" i="5"/>
  <c r="F18" i="5" l="1"/>
</calcChain>
</file>

<file path=xl/sharedStrings.xml><?xml version="1.0" encoding="utf-8"?>
<sst xmlns="http://schemas.openxmlformats.org/spreadsheetml/2006/main" count="671" uniqueCount="229">
  <si>
    <t>FECHA 1 — 14-mar-2026 — CUBA Fátima</t>
  </si>
  <si>
    <t>Par 72 | Organizadores: Gatto + Zunino</t>
  </si>
  <si>
    <t>HCP</t>
  </si>
  <si>
    <t>cancha</t>
  </si>
  <si>
    <t>PAR</t>
  </si>
  <si>
    <t>Jugador</t>
  </si>
  <si>
    <t>Equipo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</si>
  <si>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</si>
  <si>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</si>
  <si>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</si>
  <si>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</si>
  <si>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</si>
  <si>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</si>
  <si>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</si>
  <si>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</si>
  <si>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</si>
  <si>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</si>
  <si>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</si>
  <si>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</si>
  <si>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</si>
  <si>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</si>
  <si>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</si>
  <si>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</si>
  <si>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</si>
  <si>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</si>
  <si>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Gross</t>
  </si>
  <si>
    <t>Hdcp día</t>
  </si>
  <si>
    <t>Hdcp aplic</t>
  </si>
  <si>
    <t>Neto</t>
  </si>
  <si>
    <t>Gonzalez, Agus</t>
  </si>
  <si>
    <t>GRIS</t>
  </si>
  <si>
    <t>Tarasido, Gonzalo</t>
  </si>
  <si>
    <t>Zunino, Javi</t>
  </si>
  <si>
    <t>Basaldua, Ignacio</t>
  </si>
  <si>
    <t>Pannullo, Tincho</t>
  </si>
  <si>
    <t>Benegas, Pancho</t>
  </si>
  <si>
    <t>Guevara, Franki</t>
  </si>
  <si>
    <t>Dipaola, Martin</t>
  </si>
  <si>
    <t>Gatto, Mariano</t>
  </si>
  <si>
    <t>ROJO</t>
  </si>
  <si>
    <t>Elizalde, Juancho</t>
  </si>
  <si>
    <t>Canónico, Agus</t>
  </si>
  <si>
    <t>Vogelius, Nico</t>
  </si>
  <si>
    <t>Mendez, Pato</t>
  </si>
  <si>
    <t>Molinario, Andy</t>
  </si>
  <si>
    <t>Scapparone, Nico</t>
  </si>
  <si>
    <t>FECHA 2 — 11 Abr 2026 — CUBA Fátima</t>
  </si>
  <si>
    <t>Par 72 | Organizadores: —</t>
  </si>
  <si>
    <t>Fernandez, Lucas</t>
  </si>
  <si>
    <t>Gatto, Alejandro</t>
  </si>
  <si>
    <t>sup_shaw</t>
  </si>
  <si>
    <t>—</t>
  </si>
  <si>
    <t>FECHA 3 — 09 May 2026 — SHA Hebraica</t>
  </si>
  <si>
    <t>Par 72 | Organizadores: Gonzalez + Tarasido</t>
  </si>
  <si>
    <t>Alfonso, Juan Ignacio</t>
  </si>
  <si>
    <t>RESUMEN MATCH POR JUGADOR</t>
  </si>
  <si>
    <t>F1 Pts</t>
  </si>
  <si>
    <t>F1 Dif</t>
  </si>
  <si>
    <t>F2 Pts</t>
  </si>
  <si>
    <t>F2 Dif</t>
  </si>
  <si>
    <t>F3 Pts</t>
  </si>
  <si>
    <t>F3 Dif</t>
  </si>
  <si>
    <t>TOT Pts</t>
  </si>
  <si>
    <t>TOT Dif</t>
  </si>
  <si>
    <t>Total GRIS</t>
  </si>
  <si>
    <t>Total ROJO</t>
  </si>
  <si>
    <t>FECHA 1 — 14-mar-2026</t>
  </si>
  <si>
    <t>Tipo</t>
  </si>
  <si>
    <t>Gris</t>
  </si>
  <si>
    <t>Rojo</t>
  </si>
  <si>
    <t>Ganador</t>
  </si>
  <si>
    <t>Dif Hoyos</t>
  </si>
  <si>
    <t>FB</t>
  </si>
  <si>
    <t>guevara, dipaola</t>
  </si>
  <si>
    <t>scapparone, gatto_ale</t>
  </si>
  <si>
    <t>pannullo, benegas</t>
  </si>
  <si>
    <t>molinario, mendez</t>
  </si>
  <si>
    <t>zunino, basaldua</t>
  </si>
  <si>
    <t>canonico, vogelius</t>
  </si>
  <si>
    <t>tarasido, gonzalez</t>
  </si>
  <si>
    <t>elizalde, gatto</t>
  </si>
  <si>
    <t>FECHA 2 — 11 Abr 2026</t>
  </si>
  <si>
    <t>guevara</t>
  </si>
  <si>
    <t>vogelius, fernandez</t>
  </si>
  <si>
    <t>dipaola</t>
  </si>
  <si>
    <t>gatto_ale, molinario</t>
  </si>
  <si>
    <t>pannullo</t>
  </si>
  <si>
    <t>elizalde, canonico</t>
  </si>
  <si>
    <t>tarasido, benegas</t>
  </si>
  <si>
    <t>gatto, mendez</t>
  </si>
  <si>
    <t>FECHA 3 — 09 May 2026</t>
  </si>
  <si>
    <t>IND</t>
  </si>
  <si>
    <t>benegas</t>
  </si>
  <si>
    <t>elizalde</t>
  </si>
  <si>
    <t>fernandez</t>
  </si>
  <si>
    <t>gatto_ale</t>
  </si>
  <si>
    <t>molinario</t>
  </si>
  <si>
    <t>mendez</t>
  </si>
  <si>
    <t>basaldua</t>
  </si>
  <si>
    <t>canonico</t>
  </si>
  <si>
    <t>tarasido</t>
  </si>
  <si>
    <t>sup_alfonso</t>
  </si>
  <si>
    <t>gonzalez</t>
  </si>
  <si>
    <t>gatto</t>
  </si>
  <si>
    <t>vogelius</t>
  </si>
  <si>
    <t>F1 Gross</t>
  </si>
  <si>
    <t>F2 Gross</t>
  </si>
  <si>
    <t>F3 Gross</t>
  </si>
  <si>
    <t>Avg</t>
  </si>
  <si>
    <t>Mejor</t>
  </si>
  <si>
    <t>Posición</t>
  </si>
  <si>
    <t>Pts base</t>
  </si>
  <si>
    <t>Mult F9 (×1.5)</t>
  </si>
  <si>
    <t>Mult F10 (×2)</t>
  </si>
  <si>
    <t>Nota: F1-F8 multiplicador = 1. F9 = 1.5. F10 = 2.</t>
  </si>
  <si>
    <t>F1 Neto</t>
  </si>
  <si>
    <t>F1 Pos</t>
  </si>
  <si>
    <t>F2 Neto</t>
  </si>
  <si>
    <t>F2 Pos</t>
  </si>
  <si>
    <t>F3 Neto</t>
  </si>
  <si>
    <t>F3 Pos</t>
  </si>
  <si>
    <t>TOTAL</t>
  </si>
  <si>
    <t>F#</t>
  </si>
  <si>
    <t>Fecha</t>
  </si>
  <si>
    <t>Cancha</t>
  </si>
  <si>
    <t>Modalidad</t>
  </si>
  <si>
    <t>Criterio</t>
  </si>
  <si>
    <t>Organizadores</t>
  </si>
  <si>
    <t>Estado</t>
  </si>
  <si>
    <t>14-Mar-2026</t>
  </si>
  <si>
    <t>CUBA Fátima</t>
  </si>
  <si>
    <t>Fourball 2v2</t>
  </si>
  <si>
    <t>Gatto + Zunino</t>
  </si>
  <si>
    <t>Jugada</t>
  </si>
  <si>
    <t>11-Abr-2026</t>
  </si>
  <si>
    <t>09-May-2026</t>
  </si>
  <si>
    <t>SHA Hebraica</t>
  </si>
  <si>
    <t>Individual</t>
  </si>
  <si>
    <t>Gonzalez + Tarasido</t>
  </si>
  <si>
    <t>06-Jun-2026</t>
  </si>
  <si>
    <t>Pannullo + Basaldua</t>
  </si>
  <si>
    <t>Pendiente</t>
  </si>
  <si>
    <t>04-Jul-2026</t>
  </si>
  <si>
    <t>Benegas + Guevara</t>
  </si>
  <si>
    <t>01-Ago-2026</t>
  </si>
  <si>
    <t>Dipaola + Canónico</t>
  </si>
  <si>
    <t>05-Sep-2026</t>
  </si>
  <si>
    <t>Vogelius + Mendez</t>
  </si>
  <si>
    <t>03-Oct-2026</t>
  </si>
  <si>
    <t>Molinario + Scapparone</t>
  </si>
  <si>
    <t>07-Nov-2026</t>
  </si>
  <si>
    <t>GIRA</t>
  </si>
  <si>
    <t>Fourball inverso</t>
  </si>
  <si>
    <t>Neto ×1.5</t>
  </si>
  <si>
    <t>Elizalde + Fernandez</t>
  </si>
  <si>
    <t>28-Nov-2026</t>
  </si>
  <si>
    <t>GIRA FINAL</t>
  </si>
  <si>
    <t>Neto ×2</t>
  </si>
  <si>
    <t>La Comisión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</si>
  <si>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</si>
  <si>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</si>
  <si>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</si>
  <si>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</si>
  <si>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</si>
  <si>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</si>
  <si>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</si>
  <si>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</si>
  <si>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</si>
  <si>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</si>
  <si>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FJ</t>
  </si>
  <si>
    <t>FG</t>
  </si>
  <si>
    <t>AG</t>
  </si>
  <si>
    <t>AN</t>
  </si>
  <si>
    <t>Gonzalez, Agustín</t>
  </si>
  <si>
    <t>Zunino, Javier</t>
  </si>
  <si>
    <t>Pannullo, Martín</t>
  </si>
  <si>
    <t>Benegas, Francisco</t>
  </si>
  <si>
    <t>Guevara, Francisco</t>
  </si>
  <si>
    <t>Dipaola, Martín</t>
  </si>
  <si>
    <t>Elizalde, Juan Pedro</t>
  </si>
  <si>
    <t>Canónico, Agustín</t>
  </si>
  <si>
    <t>Vogelius, Nicolás</t>
  </si>
  <si>
    <t>Méndez, Gastón</t>
  </si>
  <si>
    <t>Molinario, Andrés</t>
  </si>
  <si>
    <t>Scapparone, Nicolás</t>
  </si>
  <si>
    <t>Canónico, Nacho</t>
  </si>
  <si>
    <t>Nielsen, Juanchi</t>
  </si>
  <si>
    <t>Copello, Santi</t>
  </si>
  <si>
    <t>Delger, Martin</t>
  </si>
  <si>
    <t>Señorans, Julio</t>
  </si>
  <si>
    <t>Sánchez Ricoy, Jorge</t>
  </si>
  <si>
    <t>Hack, Federico</t>
  </si>
  <si>
    <t>Abreu, Santiago</t>
  </si>
  <si>
    <t>Miceli, Julian (INV)</t>
  </si>
  <si>
    <t>Miranda, Francisco</t>
  </si>
  <si>
    <t>Diaz Andrade, Juampi</t>
  </si>
  <si>
    <t>Perez A., Nacho</t>
  </si>
  <si>
    <t>Lavalle, Joaquin</t>
  </si>
  <si>
    <t>Uribelarrea, Rafael (INV)</t>
  </si>
  <si>
    <t>Robles, Juancho</t>
  </si>
  <si>
    <t>Alfonso, Juani</t>
  </si>
  <si>
    <t>Troncoso, Tati</t>
  </si>
  <si>
    <t>Hector, Gatto</t>
  </si>
  <si>
    <t>Basaldua, Javier</t>
  </si>
  <si>
    <t>Vigil, Tomas</t>
  </si>
  <si>
    <t>ID</t>
  </si>
  <si>
    <t>Nombre completo</t>
  </si>
  <si>
    <t>Sobrenombre</t>
  </si>
  <si>
    <t>Hdcp default</t>
  </si>
  <si>
    <t>Agus</t>
  </si>
  <si>
    <t>Gonzalo</t>
  </si>
  <si>
    <t>zunino</t>
  </si>
  <si>
    <t>Javi</t>
  </si>
  <si>
    <t>Nacho</t>
  </si>
  <si>
    <t>Tincho</t>
  </si>
  <si>
    <t>Pancho</t>
  </si>
  <si>
    <t>Franki</t>
  </si>
  <si>
    <t>Martin</t>
  </si>
  <si>
    <t>Mariano</t>
  </si>
  <si>
    <t>Juancho</t>
  </si>
  <si>
    <t>Cano</t>
  </si>
  <si>
    <t>Nico</t>
  </si>
  <si>
    <t>Pato</t>
  </si>
  <si>
    <t>Andy</t>
  </si>
  <si>
    <t>scapparone</t>
  </si>
  <si>
    <t>Nico S</t>
  </si>
  <si>
    <t>Lucas</t>
  </si>
  <si>
    <t>Ale</t>
  </si>
  <si>
    <t>SUPLENTE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</si>
</sst>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color rgb="FFC9A84C"/>
      <name val="Calibri"/>
      <family val="2"/>
    </font>
    <font>
      <i/>
      <sz val="11"/>
      <color rgb="FF666666"/>
      <name val="Calibri"/>
      <family val="2"/>
    </font>
    <font>
      <sz val="9"/>
      <color rgb="FF888888"/>
      <name val="Calibri"/>
      <family val="2"/>
    </font>
    <font>
      <b/>
      <sz val="11"/>
      <name val="Calibri"/>
      <family val="2"/>
    </font>
    <font>
      <b/>
      <sz val="11"/>
      <color rgb="FFC9A84C"/>
      <name val="Calibri"/>
      <family val="2"/>
    </font>
    <font>
      <b/>
      <sz val="13"/>
      <color rgb="FFC9A84C"/>
      <name val="Calibri"/>
      <family val="2"/>
    </font>
    <font>
      <b/>
      <sz val="11"/>
      <color rgb="FFC9A84C"/>
      <name val="Calibri"/>
      <family val="2"/>
    </font>
    <font>
      <b/>
      <sz val="9"/>
      <color rgb="FFC9A84C"/>
      <name val="Calibri"/>
      <family val="2"/>
    </font>
    <font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A1430"/>
      </patternFill>
    </fill>
    <fill>
      <patternFill patternType="solid">
        <fgColor rgb="FFF0F0F0"/>
      </patternFill>
    </fill>
    <fill>
      <patternFill patternType="solid">
        <fgColor rgb="FFFFF5E0"/>
      </patternFill>
    </fill>
    <fill>
      <patternFill patternType="solid">
        <fgColor rgb="FFD9EAD3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4" fillId="0" borderId="0" xfId="0" applyFont="1"/>
    <xf numFmtId="0" fontId="0" fillId="5" borderId="1" xfId="0" applyFill="1" applyBorder="1" applyAlignment="1">
      <alignment horizontal="center"/>
    </xf>
    <xf numFmtId="0" fontId="0" fillId="2" borderId="0" xfId="0" applyFill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6" fillId="2" borderId="0" xfId="0" applyFont="1" applyFill="1" applyAlignment="1">
      <alignment horizontal="center"/>
    </xf>
    <xf numFmtId="0" fontId="7" fillId="2" borderId="0" xfId="0" applyFont="1" applyFill="1"/>
    <xf numFmtId="0" fontId="5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4857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K40" sqref="K40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20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5" ht="28" customHeight="1" x14ac:dyDescent="0.2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">
      <c r="A2" s="1" t="s">
        <v>1</v>
      </c>
    </row>
    <row r="5" spans="1:25" x14ac:dyDescent="0.2">
      <c r="A5" t="s">
        <v>2</v>
      </c>
      <c r="B5" t="s">
        <v>3</v>
      </c>
      <c r="C5" s="2">
        <v>5</v>
      </c>
      <c r="D5" s="2">
        <v>15</v>
      </c>
      <c r="E5" s="2">
        <v>1</v>
      </c>
      <c r="F5" s="2">
        <v>7</v>
      </c>
      <c r="G5" s="2">
        <v>11</v>
      </c>
      <c r="H5" s="2">
        <v>3</v>
      </c>
      <c r="I5" s="2">
        <v>17</v>
      </c>
      <c r="J5" s="2">
        <v>13</v>
      </c>
      <c r="K5" s="2">
        <v>9</v>
      </c>
      <c r="L5" s="2">
        <v>14</v>
      </c>
      <c r="M5" s="2">
        <v>10</v>
      </c>
      <c r="N5" s="2">
        <v>2</v>
      </c>
      <c r="O5" s="2">
        <v>6</v>
      </c>
      <c r="P5" s="2">
        <v>16</v>
      </c>
      <c r="Q5" s="2">
        <v>4</v>
      </c>
      <c r="R5" s="2">
        <v>12</v>
      </c>
      <c r="S5" s="2">
        <v>18</v>
      </c>
      <c r="T5" s="2">
        <v>8</v>
      </c>
    </row>
    <row r="6" spans="1:25" x14ac:dyDescent="0.2">
      <c r="A6" t="s">
        <v>4</v>
      </c>
      <c r="C6" s="3">
        <v>5</v>
      </c>
      <c r="D6" s="3">
        <v>3</v>
      </c>
      <c r="E6" s="3">
        <v>4</v>
      </c>
      <c r="F6" s="3">
        <v>5</v>
      </c>
      <c r="G6" s="3">
        <v>4</v>
      </c>
      <c r="H6" s="3">
        <v>4</v>
      </c>
      <c r="I6" s="3">
        <v>3</v>
      </c>
      <c r="J6" s="3">
        <v>4</v>
      </c>
      <c r="K6" s="3">
        <v>4</v>
      </c>
      <c r="L6" s="3">
        <v>4</v>
      </c>
      <c r="M6" s="3">
        <v>5</v>
      </c>
      <c r="N6" s="3">
        <v>4</v>
      </c>
      <c r="O6" s="3">
        <v>4</v>
      </c>
      <c r="P6" s="3">
        <v>3</v>
      </c>
      <c r="Q6" s="3">
        <v>4</v>
      </c>
      <c r="R6" s="3">
        <v>4</v>
      </c>
      <c r="S6" s="3">
        <v>3</v>
      </c>
      <c r="T6" s="3">
        <v>5</v>
      </c>
    </row>
    <row r="7" spans="1:25" ht="24" customHeight="1" x14ac:dyDescent="0.2">
      <c r="A7" s="4" t="s">
        <v>5</v>
      </c>
      <c r="B7" s="4" t="s">
        <v>6</v>
      </c>
      <c r="C7" s="4" t="s">
        <v>7</v>
      </c>
      <c r="D7" s="4" t="s">
        <v>8</v>
      </c>
      <c r="E7" s="4" t="s">
        <v>9</v>
      </c>
      <c r="F7" s="4" t="s">
        <v>10</v>
      </c>
      <c r="G7" s="4" t="s">
        <v>11</v>
      </c>
      <c r="H7" s="4" t="s">
        <v>12</v>
      </c>
      <c r="I7" s="4" t="s">
        <v>13</v>
      </c>
      <c r="J7" s="4" t="s">
        <v>14</v>
      </c>
      <c r="K7" s="4" t="s">
        <v>15</v>
      </c>
      <c r="L7" s="4" t="s">
        <v>16</v>
      </c>
      <c r="M7" s="4" t="s">
        <v>17</v>
      </c>
      <c r="N7" s="4" t="s">
        <v>18</v>
      </c>
      <c r="O7" s="4" t="s">
        <v>19</v>
      </c>
      <c r="P7" s="4" t="s">
        <v>20</v>
      </c>
      <c r="Q7" s="4" t="s">
        <v>21</v>
      </c>
      <c r="R7" s="4" t="s">
        <v>22</v>
      </c>
      <c r="S7" s="4" t="s">
        <v>23</v>
      </c>
      <c r="T7" s="4" t="s">
        <v>24</v>
      </c>
      <c r="U7" s="4" t="s">
        <v>25</v>
      </c>
      <c r="V7" s="4" t="s">
        <v>26</v>
      </c>
      <c r="W7" s="4" t="s">
        <v>27</v>
      </c>
      <c r="X7" s="4" t="s">
        <v>28</v>
      </c>
    </row>
    <row r="8" spans="1:25" x14ac:dyDescent="0.2">
      <c r="A8" s="5" t="s">
        <v>29</v>
      </c>
      <c r="B8" s="5" t="s">
        <v>30</v>
      </c>
      <c r="C8" s="6">
        <v>5</v>
      </c>
      <c r="D8" s="6">
        <v>4</v>
      </c>
      <c r="E8" s="6">
        <v>5</v>
      </c>
      <c r="F8" s="6">
        <v>6</v>
      </c>
      <c r="G8" s="6">
        <v>5</v>
      </c>
      <c r="H8" s="6">
        <v>5</v>
      </c>
      <c r="I8" s="6">
        <v>3</v>
      </c>
      <c r="J8" s="6">
        <v>6</v>
      </c>
      <c r="K8" s="6">
        <v>6</v>
      </c>
      <c r="L8" s="6">
        <v>5</v>
      </c>
      <c r="M8" s="6">
        <v>7</v>
      </c>
      <c r="N8" s="6">
        <v>4</v>
      </c>
      <c r="O8" s="6">
        <v>6</v>
      </c>
      <c r="P8" s="6">
        <v>3</v>
      </c>
      <c r="Q8" s="6">
        <v>4</v>
      </c>
      <c r="R8" s="6">
        <v>4</v>
      </c>
      <c r="S8" s="6">
        <v>4</v>
      </c>
      <c r="T8" s="6">
        <v>4</v>
      </c>
      <c r="U8" s="5">
        <f t="shared" ref="U8:U22" si="0">IF(COUNT(C8:T8)=18,SUM(C8:T8),"")</f>
        <v>86</v>
      </c>
      <c r="V8" s="5">
        <v>8</v>
      </c>
      <c r="W8" s="5">
        <f t="shared" ref="W8:W22" si="1">IF(V8="","",MIN(V8,26))</f>
        <v>8</v>
      </c>
      <c r="X8" s="5">
        <f t="shared" ref="X8:X22" si="2">IF(OR(U8="",W8=""),"",U8-W8)</f>
        <v>78</v>
      </c>
    </row>
    <row r="9" spans="1:25" x14ac:dyDescent="0.2">
      <c r="A9" s="5" t="s">
        <v>31</v>
      </c>
      <c r="B9" s="5" t="s">
        <v>30</v>
      </c>
      <c r="C9" s="6">
        <v>4</v>
      </c>
      <c r="D9" s="6">
        <v>4</v>
      </c>
      <c r="E9" s="6">
        <v>7</v>
      </c>
      <c r="F9" s="6">
        <v>5</v>
      </c>
      <c r="G9" s="6">
        <v>4</v>
      </c>
      <c r="H9" s="6">
        <v>5</v>
      </c>
      <c r="I9" s="6">
        <v>3</v>
      </c>
      <c r="J9" s="6">
        <v>3</v>
      </c>
      <c r="K9" s="6">
        <v>4</v>
      </c>
      <c r="L9" s="6">
        <v>5</v>
      </c>
      <c r="M9" s="6">
        <v>5</v>
      </c>
      <c r="N9" s="6">
        <v>5</v>
      </c>
      <c r="O9" s="6">
        <v>6</v>
      </c>
      <c r="P9" s="6">
        <v>5</v>
      </c>
      <c r="Q9" s="6">
        <v>6</v>
      </c>
      <c r="R9" s="6">
        <v>4</v>
      </c>
      <c r="S9" s="6">
        <v>4</v>
      </c>
      <c r="T9" s="6">
        <v>7</v>
      </c>
      <c r="U9" s="5">
        <f t="shared" si="0"/>
        <v>86</v>
      </c>
      <c r="V9" s="5">
        <v>11</v>
      </c>
      <c r="W9" s="5">
        <f t="shared" si="1"/>
        <v>11</v>
      </c>
      <c r="X9" s="5">
        <f t="shared" si="2"/>
        <v>75</v>
      </c>
    </row>
    <row r="10" spans="1:25" x14ac:dyDescent="0.2">
      <c r="A10" s="5" t="s">
        <v>32</v>
      </c>
      <c r="B10" s="5" t="s">
        <v>30</v>
      </c>
      <c r="C10" s="6">
        <v>7</v>
      </c>
      <c r="D10" s="6">
        <v>4</v>
      </c>
      <c r="E10" s="6">
        <v>4</v>
      </c>
      <c r="F10" s="6">
        <v>6</v>
      </c>
      <c r="G10" s="6">
        <v>7</v>
      </c>
      <c r="H10" s="6">
        <v>4</v>
      </c>
      <c r="I10" s="6">
        <v>4</v>
      </c>
      <c r="J10" s="6">
        <v>5</v>
      </c>
      <c r="K10" s="6">
        <v>4</v>
      </c>
      <c r="L10" s="6">
        <v>4</v>
      </c>
      <c r="M10" s="6">
        <v>5</v>
      </c>
      <c r="N10" s="6">
        <v>5</v>
      </c>
      <c r="O10" s="6">
        <v>4</v>
      </c>
      <c r="P10" s="6">
        <v>5</v>
      </c>
      <c r="Q10" s="6">
        <v>4</v>
      </c>
      <c r="R10" s="6">
        <v>4</v>
      </c>
      <c r="S10" s="6">
        <v>4</v>
      </c>
      <c r="T10" s="6">
        <v>7</v>
      </c>
      <c r="U10" s="5">
        <f t="shared" si="0"/>
        <v>87</v>
      </c>
      <c r="V10" s="5">
        <v>15</v>
      </c>
      <c r="W10" s="5">
        <f t="shared" si="1"/>
        <v>15</v>
      </c>
      <c r="X10" s="5">
        <f t="shared" si="2"/>
        <v>72</v>
      </c>
    </row>
    <row r="11" spans="1:25" x14ac:dyDescent="0.2">
      <c r="A11" s="5" t="s">
        <v>33</v>
      </c>
      <c r="B11" s="5" t="s">
        <v>30</v>
      </c>
      <c r="C11" s="6">
        <v>7</v>
      </c>
      <c r="D11" s="6">
        <v>3</v>
      </c>
      <c r="E11" s="6">
        <v>6</v>
      </c>
      <c r="F11" s="6">
        <v>6</v>
      </c>
      <c r="G11" s="6">
        <v>7</v>
      </c>
      <c r="H11" s="6">
        <v>5</v>
      </c>
      <c r="I11" s="6">
        <v>3</v>
      </c>
      <c r="J11" s="6">
        <v>5</v>
      </c>
      <c r="K11" s="6">
        <v>6</v>
      </c>
      <c r="L11" s="6">
        <v>5</v>
      </c>
      <c r="M11" s="6">
        <v>8</v>
      </c>
      <c r="N11" s="6">
        <v>6</v>
      </c>
      <c r="O11" s="6">
        <v>6</v>
      </c>
      <c r="P11" s="6">
        <v>3</v>
      </c>
      <c r="Q11" s="6">
        <v>5</v>
      </c>
      <c r="R11" s="6">
        <v>6</v>
      </c>
      <c r="S11" s="6">
        <v>3</v>
      </c>
      <c r="T11" s="6">
        <v>6</v>
      </c>
      <c r="U11" s="5">
        <f t="shared" si="0"/>
        <v>96</v>
      </c>
      <c r="V11" s="5">
        <v>17</v>
      </c>
      <c r="W11" s="5">
        <f t="shared" si="1"/>
        <v>17</v>
      </c>
      <c r="X11" s="5">
        <f t="shared" si="2"/>
        <v>79</v>
      </c>
    </row>
    <row r="12" spans="1:25" x14ac:dyDescent="0.2">
      <c r="A12" s="5" t="s">
        <v>34</v>
      </c>
      <c r="B12" s="5" t="s">
        <v>30</v>
      </c>
      <c r="C12" s="6">
        <v>5</v>
      </c>
      <c r="D12" s="6">
        <v>4</v>
      </c>
      <c r="E12" s="6">
        <v>5</v>
      </c>
      <c r="F12" s="6">
        <v>8</v>
      </c>
      <c r="G12" s="6">
        <v>5</v>
      </c>
      <c r="H12" s="6">
        <v>6</v>
      </c>
      <c r="I12" s="6">
        <v>5</v>
      </c>
      <c r="J12" s="6">
        <v>7</v>
      </c>
      <c r="K12" s="6">
        <v>4</v>
      </c>
      <c r="L12" s="6">
        <v>6</v>
      </c>
      <c r="M12" s="6">
        <v>7</v>
      </c>
      <c r="N12" s="6">
        <v>5</v>
      </c>
      <c r="O12" s="6">
        <v>5</v>
      </c>
      <c r="P12" s="6">
        <v>3</v>
      </c>
      <c r="Q12" s="6">
        <v>7</v>
      </c>
      <c r="R12" s="6">
        <v>5</v>
      </c>
      <c r="S12" s="6">
        <v>5</v>
      </c>
      <c r="T12" s="6">
        <v>5</v>
      </c>
      <c r="U12" s="5">
        <f t="shared" si="0"/>
        <v>97</v>
      </c>
      <c r="V12" s="5">
        <v>15</v>
      </c>
      <c r="W12" s="5">
        <f t="shared" si="1"/>
        <v>15</v>
      </c>
      <c r="X12" s="5">
        <f t="shared" si="2"/>
        <v>82</v>
      </c>
    </row>
    <row r="13" spans="1:25" x14ac:dyDescent="0.2">
      <c r="A13" s="5" t="s">
        <v>35</v>
      </c>
      <c r="B13" s="5" t="s">
        <v>30</v>
      </c>
      <c r="C13" s="6">
        <v>7</v>
      </c>
      <c r="D13" s="6">
        <v>4</v>
      </c>
      <c r="E13" s="6">
        <v>8</v>
      </c>
      <c r="F13" s="6">
        <v>8</v>
      </c>
      <c r="G13" s="6">
        <v>5</v>
      </c>
      <c r="H13" s="6">
        <v>7</v>
      </c>
      <c r="I13" s="6">
        <v>6</v>
      </c>
      <c r="J13" s="6">
        <v>7</v>
      </c>
      <c r="K13" s="6">
        <v>5</v>
      </c>
      <c r="L13" s="6">
        <v>6</v>
      </c>
      <c r="M13" s="6">
        <v>8</v>
      </c>
      <c r="N13" s="6">
        <v>5</v>
      </c>
      <c r="O13" s="6">
        <v>7</v>
      </c>
      <c r="P13" s="6">
        <v>4</v>
      </c>
      <c r="Q13" s="6">
        <v>5</v>
      </c>
      <c r="R13" s="6">
        <v>6</v>
      </c>
      <c r="S13" s="6">
        <v>6</v>
      </c>
      <c r="T13" s="6">
        <v>7</v>
      </c>
      <c r="U13" s="5">
        <f t="shared" si="0"/>
        <v>111</v>
      </c>
      <c r="V13" s="5">
        <v>19</v>
      </c>
      <c r="W13" s="5">
        <f t="shared" si="1"/>
        <v>19</v>
      </c>
      <c r="X13" s="5">
        <f t="shared" si="2"/>
        <v>92</v>
      </c>
    </row>
    <row r="14" spans="1:25" x14ac:dyDescent="0.2">
      <c r="A14" s="5" t="s">
        <v>36</v>
      </c>
      <c r="B14" s="5" t="s">
        <v>30</v>
      </c>
      <c r="C14" s="6">
        <v>5</v>
      </c>
      <c r="D14" s="6">
        <v>3</v>
      </c>
      <c r="E14" s="6">
        <v>6</v>
      </c>
      <c r="F14" s="6">
        <v>7</v>
      </c>
      <c r="G14" s="6">
        <v>5</v>
      </c>
      <c r="H14" s="6">
        <v>5</v>
      </c>
      <c r="I14" s="6">
        <v>4</v>
      </c>
      <c r="J14" s="6">
        <v>5</v>
      </c>
      <c r="K14" s="6">
        <v>4</v>
      </c>
      <c r="L14" s="6">
        <v>4</v>
      </c>
      <c r="M14" s="6">
        <v>7</v>
      </c>
      <c r="N14" s="6">
        <v>4</v>
      </c>
      <c r="O14" s="6">
        <v>5</v>
      </c>
      <c r="P14" s="6">
        <v>4</v>
      </c>
      <c r="Q14" s="6">
        <v>7</v>
      </c>
      <c r="R14" s="6">
        <v>6</v>
      </c>
      <c r="S14" s="6">
        <v>2</v>
      </c>
      <c r="T14" s="6">
        <v>4</v>
      </c>
      <c r="U14" s="5">
        <f t="shared" si="0"/>
        <v>87</v>
      </c>
      <c r="V14" s="5">
        <v>20</v>
      </c>
      <c r="W14" s="5">
        <f t="shared" si="1"/>
        <v>20</v>
      </c>
      <c r="X14" s="5">
        <f t="shared" si="2"/>
        <v>67</v>
      </c>
    </row>
    <row r="15" spans="1:25" x14ac:dyDescent="0.2">
      <c r="A15" s="5" t="s">
        <v>37</v>
      </c>
      <c r="B15" s="5" t="s">
        <v>30</v>
      </c>
      <c r="C15" s="6">
        <v>5</v>
      </c>
      <c r="D15" s="6">
        <v>4</v>
      </c>
      <c r="E15" s="6">
        <v>4</v>
      </c>
      <c r="F15" s="6">
        <v>7</v>
      </c>
      <c r="G15" s="6">
        <v>6</v>
      </c>
      <c r="H15" s="6">
        <v>5</v>
      </c>
      <c r="I15" s="6">
        <v>4</v>
      </c>
      <c r="J15" s="6">
        <v>6</v>
      </c>
      <c r="K15" s="6">
        <v>4</v>
      </c>
      <c r="L15" s="6">
        <v>6</v>
      </c>
      <c r="M15" s="6">
        <v>6</v>
      </c>
      <c r="N15" s="6">
        <v>6</v>
      </c>
      <c r="O15" s="6">
        <v>6</v>
      </c>
      <c r="P15" s="6">
        <v>3</v>
      </c>
      <c r="Q15" s="6">
        <v>6</v>
      </c>
      <c r="R15" s="6">
        <v>4</v>
      </c>
      <c r="S15" s="6">
        <v>3</v>
      </c>
      <c r="T15" s="6">
        <v>8</v>
      </c>
      <c r="U15" s="5">
        <f t="shared" si="0"/>
        <v>93</v>
      </c>
      <c r="V15" s="5">
        <v>22</v>
      </c>
      <c r="W15" s="5">
        <f t="shared" si="1"/>
        <v>22</v>
      </c>
      <c r="X15" s="5">
        <f t="shared" si="2"/>
        <v>71</v>
      </c>
    </row>
    <row r="16" spans="1:25" x14ac:dyDescent="0.2">
      <c r="A16" s="5" t="s">
        <v>38</v>
      </c>
      <c r="B16" s="5" t="s">
        <v>39</v>
      </c>
      <c r="C16" s="6">
        <v>5</v>
      </c>
      <c r="D16" s="6">
        <v>4</v>
      </c>
      <c r="E16" s="6">
        <v>5</v>
      </c>
      <c r="F16" s="6">
        <v>6</v>
      </c>
      <c r="G16" s="6">
        <v>4</v>
      </c>
      <c r="H16" s="6">
        <v>6</v>
      </c>
      <c r="I16" s="6">
        <v>3</v>
      </c>
      <c r="J16" s="6">
        <v>5</v>
      </c>
      <c r="K16" s="6">
        <v>5</v>
      </c>
      <c r="L16" s="6">
        <v>6</v>
      </c>
      <c r="M16" s="6">
        <v>6</v>
      </c>
      <c r="N16" s="6">
        <v>6</v>
      </c>
      <c r="O16" s="6">
        <v>4</v>
      </c>
      <c r="P16" s="6">
        <v>3</v>
      </c>
      <c r="Q16" s="6">
        <v>3</v>
      </c>
      <c r="R16" s="6">
        <v>3</v>
      </c>
      <c r="S16" s="6">
        <v>3</v>
      </c>
      <c r="T16" s="6">
        <v>5</v>
      </c>
      <c r="U16" s="5">
        <f t="shared" si="0"/>
        <v>82</v>
      </c>
      <c r="V16" s="5">
        <v>10</v>
      </c>
      <c r="W16" s="5">
        <f t="shared" si="1"/>
        <v>10</v>
      </c>
      <c r="X16" s="5">
        <f t="shared" si="2"/>
        <v>72</v>
      </c>
    </row>
    <row r="17" spans="1:24" x14ac:dyDescent="0.2">
      <c r="A17" s="5" t="s">
        <v>40</v>
      </c>
      <c r="B17" s="5" t="s">
        <v>39</v>
      </c>
      <c r="C17" s="6">
        <v>6</v>
      </c>
      <c r="D17" s="6">
        <v>5</v>
      </c>
      <c r="E17" s="6">
        <v>5</v>
      </c>
      <c r="F17" s="6">
        <v>7</v>
      </c>
      <c r="G17" s="6">
        <v>4</v>
      </c>
      <c r="H17" s="6">
        <v>6</v>
      </c>
      <c r="I17" s="6">
        <v>3</v>
      </c>
      <c r="J17" s="6">
        <v>3</v>
      </c>
      <c r="K17" s="6">
        <v>5</v>
      </c>
      <c r="L17" s="6">
        <v>5</v>
      </c>
      <c r="M17" s="6">
        <v>6</v>
      </c>
      <c r="N17" s="6">
        <v>5</v>
      </c>
      <c r="O17" s="6">
        <v>4</v>
      </c>
      <c r="P17" s="6">
        <v>2</v>
      </c>
      <c r="Q17" s="6">
        <v>6</v>
      </c>
      <c r="R17" s="6">
        <v>4</v>
      </c>
      <c r="S17" s="6">
        <v>5</v>
      </c>
      <c r="T17" s="6">
        <v>5</v>
      </c>
      <c r="U17" s="5">
        <f t="shared" si="0"/>
        <v>86</v>
      </c>
      <c r="V17" s="5">
        <v>13</v>
      </c>
      <c r="W17" s="5">
        <f t="shared" si="1"/>
        <v>13</v>
      </c>
      <c r="X17" s="5">
        <f t="shared" si="2"/>
        <v>73</v>
      </c>
    </row>
    <row r="18" spans="1:24" x14ac:dyDescent="0.2">
      <c r="A18" s="5" t="s">
        <v>41</v>
      </c>
      <c r="B18" s="5" t="s">
        <v>39</v>
      </c>
      <c r="C18" s="6">
        <v>5</v>
      </c>
      <c r="D18" s="6">
        <v>4</v>
      </c>
      <c r="E18" s="6">
        <v>7</v>
      </c>
      <c r="F18" s="6">
        <v>7</v>
      </c>
      <c r="G18" s="6">
        <v>5</v>
      </c>
      <c r="H18" s="6">
        <v>5</v>
      </c>
      <c r="I18" s="6">
        <v>4</v>
      </c>
      <c r="J18" s="6">
        <v>5</v>
      </c>
      <c r="K18" s="6">
        <v>5</v>
      </c>
      <c r="L18" s="6">
        <v>7</v>
      </c>
      <c r="M18" s="6">
        <v>6</v>
      </c>
      <c r="N18" s="6">
        <v>5</v>
      </c>
      <c r="O18" s="6">
        <v>6</v>
      </c>
      <c r="P18" s="6">
        <v>3</v>
      </c>
      <c r="Q18" s="6">
        <v>5</v>
      </c>
      <c r="R18" s="6">
        <v>5</v>
      </c>
      <c r="S18" s="6">
        <v>5</v>
      </c>
      <c r="T18" s="6">
        <v>7</v>
      </c>
      <c r="U18" s="5">
        <f t="shared" si="0"/>
        <v>96</v>
      </c>
      <c r="V18" s="5">
        <v>18</v>
      </c>
      <c r="W18" s="5">
        <f t="shared" si="1"/>
        <v>18</v>
      </c>
      <c r="X18" s="5">
        <f t="shared" si="2"/>
        <v>78</v>
      </c>
    </row>
    <row r="19" spans="1:24" x14ac:dyDescent="0.2">
      <c r="A19" s="5" t="s">
        <v>42</v>
      </c>
      <c r="B19" s="5" t="s">
        <v>39</v>
      </c>
      <c r="C19" s="6">
        <v>7</v>
      </c>
      <c r="D19" s="6">
        <v>3</v>
      </c>
      <c r="E19" s="6">
        <v>4</v>
      </c>
      <c r="F19" s="6">
        <v>5</v>
      </c>
      <c r="G19" s="6">
        <v>4</v>
      </c>
      <c r="H19" s="6">
        <v>6</v>
      </c>
      <c r="I19" s="6">
        <v>3</v>
      </c>
      <c r="J19" s="6">
        <v>5</v>
      </c>
      <c r="K19" s="6">
        <v>6</v>
      </c>
      <c r="L19" s="6">
        <v>5</v>
      </c>
      <c r="M19" s="6">
        <v>6</v>
      </c>
      <c r="N19" s="6">
        <v>4</v>
      </c>
      <c r="O19" s="6">
        <v>4</v>
      </c>
      <c r="P19" s="6">
        <v>3</v>
      </c>
      <c r="Q19" s="6">
        <v>6</v>
      </c>
      <c r="R19" s="6">
        <v>5</v>
      </c>
      <c r="S19" s="6">
        <v>3</v>
      </c>
      <c r="T19" s="6">
        <v>5</v>
      </c>
      <c r="U19" s="5">
        <f t="shared" si="0"/>
        <v>84</v>
      </c>
      <c r="V19" s="5">
        <v>17</v>
      </c>
      <c r="W19" s="5">
        <f t="shared" si="1"/>
        <v>17</v>
      </c>
      <c r="X19" s="5">
        <f t="shared" si="2"/>
        <v>67</v>
      </c>
    </row>
    <row r="20" spans="1:24" x14ac:dyDescent="0.2">
      <c r="A20" s="5" t="s">
        <v>43</v>
      </c>
      <c r="B20" s="5" t="s">
        <v>39</v>
      </c>
      <c r="C20" s="6">
        <v>6</v>
      </c>
      <c r="D20" s="6">
        <v>3</v>
      </c>
      <c r="E20" s="6">
        <v>5</v>
      </c>
      <c r="F20" s="6">
        <v>7</v>
      </c>
      <c r="G20" s="6">
        <v>5</v>
      </c>
      <c r="H20" s="6">
        <v>5</v>
      </c>
      <c r="I20" s="6">
        <v>4</v>
      </c>
      <c r="J20" s="6">
        <v>5</v>
      </c>
      <c r="K20" s="6">
        <v>4</v>
      </c>
      <c r="L20" s="6">
        <v>4</v>
      </c>
      <c r="M20" s="6">
        <v>7</v>
      </c>
      <c r="N20" s="6">
        <v>3</v>
      </c>
      <c r="O20" s="6">
        <v>4</v>
      </c>
      <c r="P20" s="6">
        <v>5</v>
      </c>
      <c r="Q20" s="6">
        <v>6</v>
      </c>
      <c r="R20" s="6">
        <v>4</v>
      </c>
      <c r="S20" s="6">
        <v>3</v>
      </c>
      <c r="T20" s="6">
        <v>6</v>
      </c>
      <c r="U20" s="5">
        <f t="shared" si="0"/>
        <v>86</v>
      </c>
      <c r="V20" s="5">
        <v>17</v>
      </c>
      <c r="W20" s="5">
        <f t="shared" si="1"/>
        <v>17</v>
      </c>
      <c r="X20" s="5">
        <f t="shared" si="2"/>
        <v>69</v>
      </c>
    </row>
    <row r="21" spans="1:24" x14ac:dyDescent="0.2">
      <c r="A21" s="5" t="s">
        <v>44</v>
      </c>
      <c r="B21" s="5" t="s">
        <v>39</v>
      </c>
      <c r="C21" s="6">
        <v>5</v>
      </c>
      <c r="D21" s="6">
        <v>5</v>
      </c>
      <c r="E21" s="6">
        <v>4</v>
      </c>
      <c r="F21" s="6">
        <v>5</v>
      </c>
      <c r="G21" s="6">
        <v>5</v>
      </c>
      <c r="H21" s="6">
        <v>5</v>
      </c>
      <c r="I21" s="6">
        <v>6</v>
      </c>
      <c r="J21" s="6">
        <v>6</v>
      </c>
      <c r="K21" s="6">
        <v>4</v>
      </c>
      <c r="L21" s="6">
        <v>5</v>
      </c>
      <c r="M21" s="6">
        <v>4</v>
      </c>
      <c r="N21" s="6">
        <v>5</v>
      </c>
      <c r="O21" s="6">
        <v>4</v>
      </c>
      <c r="P21" s="6">
        <v>5</v>
      </c>
      <c r="Q21" s="6">
        <v>5</v>
      </c>
      <c r="R21" s="6">
        <v>4</v>
      </c>
      <c r="S21" s="6">
        <v>3</v>
      </c>
      <c r="T21" s="6">
        <v>6</v>
      </c>
      <c r="U21" s="5">
        <f t="shared" si="0"/>
        <v>86</v>
      </c>
      <c r="V21" s="5">
        <v>17</v>
      </c>
      <c r="W21" s="5">
        <f t="shared" si="1"/>
        <v>17</v>
      </c>
      <c r="X21" s="5">
        <f t="shared" si="2"/>
        <v>69</v>
      </c>
    </row>
    <row r="22" spans="1:24" x14ac:dyDescent="0.2">
      <c r="A22" s="5" t="s">
        <v>45</v>
      </c>
      <c r="B22" s="5" t="s">
        <v>39</v>
      </c>
      <c r="C22" s="6">
        <v>4</v>
      </c>
      <c r="D22" s="6">
        <v>4</v>
      </c>
      <c r="E22" s="6">
        <v>7</v>
      </c>
      <c r="F22" s="6">
        <v>5</v>
      </c>
      <c r="G22" s="6">
        <v>6</v>
      </c>
      <c r="H22" s="6">
        <v>7</v>
      </c>
      <c r="I22" s="6">
        <v>5</v>
      </c>
      <c r="J22" s="6">
        <v>3</v>
      </c>
      <c r="K22" s="6">
        <v>4</v>
      </c>
      <c r="L22" s="6">
        <v>4</v>
      </c>
      <c r="M22" s="6">
        <v>8</v>
      </c>
      <c r="N22" s="6">
        <v>6</v>
      </c>
      <c r="O22" s="6">
        <v>7</v>
      </c>
      <c r="P22" s="6">
        <v>5</v>
      </c>
      <c r="Q22" s="6">
        <v>6</v>
      </c>
      <c r="R22" s="6">
        <v>5</v>
      </c>
      <c r="S22" s="6">
        <v>4</v>
      </c>
      <c r="T22" s="6">
        <v>5</v>
      </c>
      <c r="U22" s="5">
        <f t="shared" si="0"/>
        <v>95</v>
      </c>
      <c r="V22" s="5">
        <v>20</v>
      </c>
      <c r="W22" s="5">
        <f t="shared" si="1"/>
        <v>20</v>
      </c>
      <c r="X22" s="5">
        <f t="shared" si="2"/>
        <v>75</v>
      </c>
    </row>
    <row r="23" spans="1:24" x14ac:dyDescent="0.2">
      <c r="A23" s="21" t="s">
        <v>49</v>
      </c>
      <c r="B23" s="5" t="s">
        <v>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5">
        <v>117</v>
      </c>
      <c r="V23" s="5">
        <v>20</v>
      </c>
      <c r="W23" s="5">
        <f t="shared" ref="W23" si="3">IF(V23="","",MIN(V23,26))</f>
        <v>20</v>
      </c>
      <c r="X23" s="5">
        <f t="shared" ref="X23" si="4">IF(OR(U23="",W23=""),"",U23-W23)</f>
        <v>97</v>
      </c>
    </row>
    <row r="1048576" spans="2:2" x14ac:dyDescent="0.2">
      <c r="B1048576" s="5"/>
    </row>
  </sheetData>
  <mergeCells count="1">
    <mergeCell ref="A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1"/>
  <sheetViews>
    <sheetView showGridLines="0" workbookViewId="0">
      <pane xSplit="2" ySplit="7" topLeftCell="C8" activePane="bottomRight" state="frozen"/>
      <selection pane="topRight"/>
      <selection pane="bottomLeft"/>
      <selection pane="bottomRight" sqref="A1:Y1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20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5" ht="28" customHeight="1" x14ac:dyDescent="0.2">
      <c r="A1" s="14" t="s">
        <v>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">
      <c r="A2" s="1" t="s">
        <v>47</v>
      </c>
    </row>
    <row r="5" spans="1:25" x14ac:dyDescent="0.2">
      <c r="A5" t="s">
        <v>2</v>
      </c>
      <c r="B5" t="s">
        <v>3</v>
      </c>
      <c r="C5" s="2">
        <v>5</v>
      </c>
      <c r="D5" s="2">
        <v>15</v>
      </c>
      <c r="E5" s="2">
        <v>1</v>
      </c>
      <c r="F5" s="2">
        <v>7</v>
      </c>
      <c r="G5" s="2">
        <v>11</v>
      </c>
      <c r="H5" s="2">
        <v>3</v>
      </c>
      <c r="I5" s="2">
        <v>17</v>
      </c>
      <c r="J5" s="2">
        <v>13</v>
      </c>
      <c r="K5" s="2">
        <v>9</v>
      </c>
      <c r="L5" s="2">
        <v>14</v>
      </c>
      <c r="M5" s="2">
        <v>10</v>
      </c>
      <c r="N5" s="2">
        <v>2</v>
      </c>
      <c r="O5" s="2">
        <v>6</v>
      </c>
      <c r="P5" s="2">
        <v>16</v>
      </c>
      <c r="Q5" s="2">
        <v>4</v>
      </c>
      <c r="R5" s="2">
        <v>12</v>
      </c>
      <c r="S5" s="2">
        <v>18</v>
      </c>
      <c r="T5" s="2">
        <v>8</v>
      </c>
    </row>
    <row r="6" spans="1:25" x14ac:dyDescent="0.2">
      <c r="A6" t="s">
        <v>4</v>
      </c>
      <c r="C6" s="3">
        <v>5</v>
      </c>
      <c r="D6" s="3">
        <v>3</v>
      </c>
      <c r="E6" s="3">
        <v>4</v>
      </c>
      <c r="F6" s="3">
        <v>5</v>
      </c>
      <c r="G6" s="3">
        <v>4</v>
      </c>
      <c r="H6" s="3">
        <v>4</v>
      </c>
      <c r="I6" s="3">
        <v>3</v>
      </c>
      <c r="J6" s="3">
        <v>4</v>
      </c>
      <c r="K6" s="3">
        <v>4</v>
      </c>
      <c r="L6" s="3">
        <v>4</v>
      </c>
      <c r="M6" s="3">
        <v>5</v>
      </c>
      <c r="N6" s="3">
        <v>4</v>
      </c>
      <c r="O6" s="3">
        <v>4</v>
      </c>
      <c r="P6" s="3">
        <v>3</v>
      </c>
      <c r="Q6" s="3">
        <v>4</v>
      </c>
      <c r="R6" s="3">
        <v>4</v>
      </c>
      <c r="S6" s="3">
        <v>3</v>
      </c>
      <c r="T6" s="3">
        <v>5</v>
      </c>
    </row>
    <row r="7" spans="1:25" ht="24" customHeight="1" x14ac:dyDescent="0.2">
      <c r="A7" s="4" t="s">
        <v>5</v>
      </c>
      <c r="B7" s="4" t="s">
        <v>6</v>
      </c>
      <c r="C7" s="4" t="s">
        <v>7</v>
      </c>
      <c r="D7" s="4" t="s">
        <v>8</v>
      </c>
      <c r="E7" s="4" t="s">
        <v>9</v>
      </c>
      <c r="F7" s="4" t="s">
        <v>10</v>
      </c>
      <c r="G7" s="4" t="s">
        <v>11</v>
      </c>
      <c r="H7" s="4" t="s">
        <v>12</v>
      </c>
      <c r="I7" s="4" t="s">
        <v>13</v>
      </c>
      <c r="J7" s="4" t="s">
        <v>14</v>
      </c>
      <c r="K7" s="4" t="s">
        <v>15</v>
      </c>
      <c r="L7" s="4" t="s">
        <v>16</v>
      </c>
      <c r="M7" s="4" t="s">
        <v>17</v>
      </c>
      <c r="N7" s="4" t="s">
        <v>18</v>
      </c>
      <c r="O7" s="4" t="s">
        <v>19</v>
      </c>
      <c r="P7" s="4" t="s">
        <v>20</v>
      </c>
      <c r="Q7" s="4" t="s">
        <v>21</v>
      </c>
      <c r="R7" s="4" t="s">
        <v>22</v>
      </c>
      <c r="S7" s="4" t="s">
        <v>23</v>
      </c>
      <c r="T7" s="4" t="s">
        <v>24</v>
      </c>
      <c r="U7" s="4" t="s">
        <v>25</v>
      </c>
      <c r="V7" s="4" t="s">
        <v>26</v>
      </c>
      <c r="W7" s="4" t="s">
        <v>27</v>
      </c>
      <c r="X7" s="4" t="s">
        <v>28</v>
      </c>
    </row>
    <row r="8" spans="1:25" x14ac:dyDescent="0.2">
      <c r="A8" s="5" t="s">
        <v>31</v>
      </c>
      <c r="B8" s="5" t="s">
        <v>30</v>
      </c>
      <c r="C8" s="6">
        <v>5</v>
      </c>
      <c r="D8" s="6">
        <v>4</v>
      </c>
      <c r="E8" s="6">
        <v>8</v>
      </c>
      <c r="F8" s="6">
        <v>6</v>
      </c>
      <c r="G8" s="6">
        <v>7</v>
      </c>
      <c r="H8" s="6">
        <v>7</v>
      </c>
      <c r="I8" s="6">
        <v>6</v>
      </c>
      <c r="J8" s="6">
        <v>4</v>
      </c>
      <c r="K8" s="6">
        <v>6</v>
      </c>
      <c r="L8" s="6">
        <v>4</v>
      </c>
      <c r="M8" s="6">
        <v>5</v>
      </c>
      <c r="N8" s="6">
        <v>4</v>
      </c>
      <c r="O8" s="6">
        <v>6</v>
      </c>
      <c r="P8" s="6">
        <v>4</v>
      </c>
      <c r="Q8" s="6">
        <v>4</v>
      </c>
      <c r="R8" s="6">
        <v>5</v>
      </c>
      <c r="S8" s="6">
        <v>5</v>
      </c>
      <c r="T8" s="6">
        <v>7</v>
      </c>
      <c r="U8" s="5">
        <f t="shared" ref="U8:U21" si="0">IF(COUNT(C8:T8)=18,SUM(C8:T8),"")</f>
        <v>97</v>
      </c>
      <c r="V8" s="5">
        <v>12</v>
      </c>
      <c r="W8" s="5">
        <f t="shared" ref="W8:W21" si="1">IF(V8="","",MIN(V8,26))</f>
        <v>12</v>
      </c>
      <c r="X8" s="5">
        <f t="shared" ref="X8:X21" si="2">IF(OR(U8="",W8=""),"",U8-W8)</f>
        <v>85</v>
      </c>
    </row>
    <row r="9" spans="1:25" x14ac:dyDescent="0.2">
      <c r="A9" s="5" t="s">
        <v>34</v>
      </c>
      <c r="B9" s="5" t="s">
        <v>30</v>
      </c>
      <c r="C9" s="6">
        <v>5</v>
      </c>
      <c r="D9" s="6">
        <v>5</v>
      </c>
      <c r="E9" s="6">
        <v>5</v>
      </c>
      <c r="F9" s="6">
        <v>9</v>
      </c>
      <c r="G9" s="6">
        <v>6</v>
      </c>
      <c r="H9" s="6">
        <v>5</v>
      </c>
      <c r="I9" s="6">
        <v>5</v>
      </c>
      <c r="J9" s="6">
        <v>4</v>
      </c>
      <c r="K9" s="6">
        <v>6</v>
      </c>
      <c r="L9" s="6">
        <v>5</v>
      </c>
      <c r="M9" s="6">
        <v>5</v>
      </c>
      <c r="N9" s="6">
        <v>6</v>
      </c>
      <c r="O9" s="6">
        <v>3</v>
      </c>
      <c r="P9" s="6">
        <v>4</v>
      </c>
      <c r="Q9" s="6">
        <v>6</v>
      </c>
      <c r="R9" s="6">
        <v>6</v>
      </c>
      <c r="S9" s="6">
        <v>2</v>
      </c>
      <c r="T9" s="6">
        <v>5</v>
      </c>
      <c r="U9" s="5">
        <f t="shared" si="0"/>
        <v>92</v>
      </c>
      <c r="V9" s="5">
        <v>15</v>
      </c>
      <c r="W9" s="5">
        <f t="shared" si="1"/>
        <v>15</v>
      </c>
      <c r="X9" s="5">
        <f t="shared" si="2"/>
        <v>77</v>
      </c>
    </row>
    <row r="10" spans="1:25" x14ac:dyDescent="0.2">
      <c r="A10" s="5" t="s">
        <v>35</v>
      </c>
      <c r="B10" s="5" t="s">
        <v>30</v>
      </c>
      <c r="C10" s="6">
        <v>8</v>
      </c>
      <c r="D10" s="6">
        <v>3</v>
      </c>
      <c r="E10" s="6">
        <v>4</v>
      </c>
      <c r="F10" s="6">
        <v>6</v>
      </c>
      <c r="G10" s="6">
        <v>5</v>
      </c>
      <c r="H10" s="6">
        <v>5</v>
      </c>
      <c r="I10" s="6">
        <v>4</v>
      </c>
      <c r="J10" s="6">
        <v>6</v>
      </c>
      <c r="K10" s="6">
        <v>6</v>
      </c>
      <c r="L10" s="6">
        <v>6</v>
      </c>
      <c r="M10" s="6">
        <v>5</v>
      </c>
      <c r="N10" s="6">
        <v>5</v>
      </c>
      <c r="O10" s="6">
        <v>5</v>
      </c>
      <c r="P10" s="6">
        <v>4</v>
      </c>
      <c r="Q10" s="6">
        <v>6</v>
      </c>
      <c r="R10" s="6">
        <v>6</v>
      </c>
      <c r="S10" s="6">
        <v>3</v>
      </c>
      <c r="T10" s="6">
        <v>6</v>
      </c>
      <c r="U10" s="5">
        <f t="shared" si="0"/>
        <v>93</v>
      </c>
      <c r="V10" s="5">
        <v>20</v>
      </c>
      <c r="W10" s="5">
        <f t="shared" si="1"/>
        <v>20</v>
      </c>
      <c r="X10" s="5">
        <f t="shared" si="2"/>
        <v>73</v>
      </c>
    </row>
    <row r="11" spans="1:25" x14ac:dyDescent="0.2">
      <c r="A11" s="5" t="s">
        <v>36</v>
      </c>
      <c r="B11" s="5" t="s">
        <v>30</v>
      </c>
      <c r="C11" s="6">
        <v>5</v>
      </c>
      <c r="D11" s="6">
        <v>5</v>
      </c>
      <c r="E11" s="6">
        <v>5</v>
      </c>
      <c r="F11" s="6">
        <v>7</v>
      </c>
      <c r="G11" s="6">
        <v>6</v>
      </c>
      <c r="H11" s="6">
        <v>6</v>
      </c>
      <c r="I11" s="6">
        <v>3</v>
      </c>
      <c r="J11" s="6">
        <v>6</v>
      </c>
      <c r="K11" s="6">
        <v>6</v>
      </c>
      <c r="L11" s="6">
        <v>4</v>
      </c>
      <c r="M11" s="6">
        <v>6</v>
      </c>
      <c r="N11" s="6">
        <v>5</v>
      </c>
      <c r="O11" s="6">
        <v>7</v>
      </c>
      <c r="P11" s="6">
        <v>4</v>
      </c>
      <c r="Q11" s="6">
        <v>5</v>
      </c>
      <c r="R11" s="6">
        <v>7</v>
      </c>
      <c r="S11" s="6">
        <v>3</v>
      </c>
      <c r="T11" s="6">
        <v>5</v>
      </c>
      <c r="U11" s="5">
        <f t="shared" si="0"/>
        <v>95</v>
      </c>
      <c r="V11" s="5">
        <v>20</v>
      </c>
      <c r="W11" s="5">
        <f t="shared" si="1"/>
        <v>20</v>
      </c>
      <c r="X11" s="5">
        <f t="shared" si="2"/>
        <v>75</v>
      </c>
    </row>
    <row r="12" spans="1:25" x14ac:dyDescent="0.2">
      <c r="A12" s="5" t="s">
        <v>37</v>
      </c>
      <c r="B12" s="5" t="s">
        <v>30</v>
      </c>
      <c r="C12" s="6">
        <v>6</v>
      </c>
      <c r="D12" s="6">
        <v>4</v>
      </c>
      <c r="E12" s="6">
        <v>6</v>
      </c>
      <c r="F12" s="6">
        <v>8</v>
      </c>
      <c r="G12" s="6">
        <v>5</v>
      </c>
      <c r="H12" s="6">
        <v>6</v>
      </c>
      <c r="I12" s="6">
        <v>4</v>
      </c>
      <c r="J12" s="6">
        <v>4</v>
      </c>
      <c r="K12" s="6">
        <v>5</v>
      </c>
      <c r="L12" s="6">
        <v>5</v>
      </c>
      <c r="M12" s="6">
        <v>4</v>
      </c>
      <c r="N12" s="6">
        <v>5</v>
      </c>
      <c r="O12" s="6">
        <v>7</v>
      </c>
      <c r="P12" s="6">
        <v>7</v>
      </c>
      <c r="Q12" s="6">
        <v>6</v>
      </c>
      <c r="R12" s="6">
        <v>5</v>
      </c>
      <c r="S12" s="6">
        <v>4</v>
      </c>
      <c r="T12" s="6">
        <v>4</v>
      </c>
      <c r="U12" s="5">
        <f t="shared" si="0"/>
        <v>95</v>
      </c>
      <c r="V12" s="5">
        <v>22</v>
      </c>
      <c r="W12" s="5">
        <f t="shared" si="1"/>
        <v>22</v>
      </c>
      <c r="X12" s="5">
        <f t="shared" si="2"/>
        <v>73</v>
      </c>
    </row>
    <row r="13" spans="1:25" x14ac:dyDescent="0.2">
      <c r="A13" s="5" t="s">
        <v>38</v>
      </c>
      <c r="B13" s="5" t="s">
        <v>39</v>
      </c>
      <c r="C13" s="6">
        <v>4</v>
      </c>
      <c r="D13" s="6">
        <v>3</v>
      </c>
      <c r="E13" s="6">
        <v>4</v>
      </c>
      <c r="F13" s="6">
        <v>6</v>
      </c>
      <c r="G13" s="6">
        <v>4</v>
      </c>
      <c r="H13" s="6">
        <v>4</v>
      </c>
      <c r="I13" s="6">
        <v>3</v>
      </c>
      <c r="J13" s="6">
        <v>3</v>
      </c>
      <c r="K13" s="6">
        <v>4</v>
      </c>
      <c r="L13" s="6">
        <v>6</v>
      </c>
      <c r="M13" s="6">
        <v>5</v>
      </c>
      <c r="N13" s="6">
        <v>4</v>
      </c>
      <c r="O13" s="6">
        <v>4</v>
      </c>
      <c r="P13" s="6">
        <v>2</v>
      </c>
      <c r="Q13" s="6">
        <v>5</v>
      </c>
      <c r="R13" s="6">
        <v>4</v>
      </c>
      <c r="S13" s="6">
        <v>3</v>
      </c>
      <c r="T13" s="6">
        <v>7</v>
      </c>
      <c r="U13" s="5">
        <f t="shared" si="0"/>
        <v>75</v>
      </c>
      <c r="V13" s="5">
        <v>9</v>
      </c>
      <c r="W13" s="5">
        <f t="shared" si="1"/>
        <v>9</v>
      </c>
      <c r="X13" s="5">
        <f t="shared" si="2"/>
        <v>66</v>
      </c>
    </row>
    <row r="14" spans="1:25" x14ac:dyDescent="0.2">
      <c r="A14" s="5" t="s">
        <v>40</v>
      </c>
      <c r="B14" s="5" t="s">
        <v>39</v>
      </c>
      <c r="C14" s="6">
        <v>6</v>
      </c>
      <c r="D14" s="6">
        <v>4</v>
      </c>
      <c r="E14" s="6">
        <v>4</v>
      </c>
      <c r="F14" s="6">
        <v>6</v>
      </c>
      <c r="G14" s="6">
        <v>5</v>
      </c>
      <c r="H14" s="6">
        <v>5</v>
      </c>
      <c r="I14" s="6">
        <v>4</v>
      </c>
      <c r="J14" s="6">
        <v>7</v>
      </c>
      <c r="K14" s="6">
        <v>3</v>
      </c>
      <c r="L14" s="6">
        <v>4</v>
      </c>
      <c r="M14" s="6">
        <v>5</v>
      </c>
      <c r="N14" s="6">
        <v>5</v>
      </c>
      <c r="O14" s="6">
        <v>6</v>
      </c>
      <c r="P14" s="6">
        <v>3</v>
      </c>
      <c r="Q14" s="6">
        <v>4</v>
      </c>
      <c r="R14" s="6">
        <v>4</v>
      </c>
      <c r="S14" s="6">
        <v>3</v>
      </c>
      <c r="T14" s="6">
        <v>5</v>
      </c>
      <c r="U14" s="5">
        <f t="shared" si="0"/>
        <v>83</v>
      </c>
      <c r="V14" s="5">
        <v>13</v>
      </c>
      <c r="W14" s="5">
        <f t="shared" si="1"/>
        <v>13</v>
      </c>
      <c r="X14" s="5">
        <f t="shared" si="2"/>
        <v>70</v>
      </c>
    </row>
    <row r="15" spans="1:25" x14ac:dyDescent="0.2">
      <c r="A15" s="5" t="s">
        <v>41</v>
      </c>
      <c r="B15" s="5" t="s">
        <v>39</v>
      </c>
      <c r="C15" s="6">
        <v>8</v>
      </c>
      <c r="D15" s="6">
        <v>5</v>
      </c>
      <c r="E15" s="6">
        <v>4</v>
      </c>
      <c r="F15" s="6">
        <v>6</v>
      </c>
      <c r="G15" s="6">
        <v>4</v>
      </c>
      <c r="H15" s="6">
        <v>5</v>
      </c>
      <c r="I15" s="6">
        <v>2</v>
      </c>
      <c r="J15" s="6">
        <v>5</v>
      </c>
      <c r="K15" s="6">
        <v>6</v>
      </c>
      <c r="L15" s="6">
        <v>4</v>
      </c>
      <c r="M15" s="6">
        <v>7</v>
      </c>
      <c r="N15" s="6">
        <v>5</v>
      </c>
      <c r="O15" s="6">
        <v>4</v>
      </c>
      <c r="P15" s="6">
        <v>4</v>
      </c>
      <c r="Q15" s="6">
        <v>5</v>
      </c>
      <c r="R15" s="6">
        <v>5</v>
      </c>
      <c r="S15" s="6">
        <v>5</v>
      </c>
      <c r="T15" s="6">
        <v>7</v>
      </c>
      <c r="U15" s="5">
        <f t="shared" si="0"/>
        <v>91</v>
      </c>
      <c r="V15" s="5">
        <v>18</v>
      </c>
      <c r="W15" s="5">
        <f t="shared" si="1"/>
        <v>18</v>
      </c>
      <c r="X15" s="5">
        <f t="shared" si="2"/>
        <v>73</v>
      </c>
    </row>
    <row r="16" spans="1:25" x14ac:dyDescent="0.2">
      <c r="A16" s="5" t="s">
        <v>42</v>
      </c>
      <c r="B16" s="5" t="s">
        <v>39</v>
      </c>
      <c r="C16" s="6">
        <v>8</v>
      </c>
      <c r="D16" s="6">
        <v>3</v>
      </c>
      <c r="E16" s="6">
        <v>7</v>
      </c>
      <c r="F16" s="6">
        <v>7</v>
      </c>
      <c r="G16" s="6">
        <v>5</v>
      </c>
      <c r="H16" s="6">
        <v>5</v>
      </c>
      <c r="I16" s="6">
        <v>3</v>
      </c>
      <c r="J16" s="6">
        <v>5</v>
      </c>
      <c r="K16" s="6">
        <v>5</v>
      </c>
      <c r="L16" s="6">
        <v>7</v>
      </c>
      <c r="M16" s="6">
        <v>6</v>
      </c>
      <c r="N16" s="6">
        <v>5</v>
      </c>
      <c r="O16" s="6">
        <v>5</v>
      </c>
      <c r="P16" s="6">
        <v>5</v>
      </c>
      <c r="Q16" s="6">
        <v>8</v>
      </c>
      <c r="R16" s="6">
        <v>6</v>
      </c>
      <c r="S16" s="6">
        <v>4</v>
      </c>
      <c r="T16" s="6">
        <v>6</v>
      </c>
      <c r="U16" s="5">
        <f t="shared" si="0"/>
        <v>100</v>
      </c>
      <c r="V16" s="5">
        <v>15</v>
      </c>
      <c r="W16" s="5">
        <f t="shared" si="1"/>
        <v>15</v>
      </c>
      <c r="X16" s="5">
        <f t="shared" si="2"/>
        <v>85</v>
      </c>
    </row>
    <row r="17" spans="1:24" x14ac:dyDescent="0.2">
      <c r="A17" s="5" t="s">
        <v>43</v>
      </c>
      <c r="B17" s="5" t="s">
        <v>39</v>
      </c>
      <c r="C17" s="6">
        <v>5</v>
      </c>
      <c r="D17" s="6">
        <v>3</v>
      </c>
      <c r="E17" s="6">
        <v>5</v>
      </c>
      <c r="F17" s="6">
        <v>7</v>
      </c>
      <c r="G17" s="6">
        <v>5</v>
      </c>
      <c r="H17" s="6">
        <v>6</v>
      </c>
      <c r="I17" s="6">
        <v>4</v>
      </c>
      <c r="J17" s="6">
        <v>5</v>
      </c>
      <c r="K17" s="6">
        <v>4</v>
      </c>
      <c r="L17" s="6">
        <v>6</v>
      </c>
      <c r="M17" s="6">
        <v>6</v>
      </c>
      <c r="N17" s="6">
        <v>4</v>
      </c>
      <c r="O17" s="6">
        <v>4</v>
      </c>
      <c r="P17" s="6">
        <v>4</v>
      </c>
      <c r="Q17" s="6">
        <v>6</v>
      </c>
      <c r="R17" s="6">
        <v>5</v>
      </c>
      <c r="S17" s="6">
        <v>4</v>
      </c>
      <c r="T17" s="6">
        <v>7</v>
      </c>
      <c r="U17" s="5">
        <f t="shared" si="0"/>
        <v>90</v>
      </c>
      <c r="V17" s="5">
        <v>16</v>
      </c>
      <c r="W17" s="5">
        <f t="shared" si="1"/>
        <v>16</v>
      </c>
      <c r="X17" s="5">
        <f t="shared" si="2"/>
        <v>74</v>
      </c>
    </row>
    <row r="18" spans="1:24" x14ac:dyDescent="0.2">
      <c r="A18" s="5" t="s">
        <v>44</v>
      </c>
      <c r="B18" s="5" t="s">
        <v>39</v>
      </c>
      <c r="C18" s="6">
        <v>6</v>
      </c>
      <c r="D18" s="6">
        <v>5</v>
      </c>
      <c r="E18" s="6">
        <v>6</v>
      </c>
      <c r="F18" s="6">
        <v>6</v>
      </c>
      <c r="G18" s="6">
        <v>7</v>
      </c>
      <c r="H18" s="6">
        <v>4</v>
      </c>
      <c r="I18" s="6">
        <v>4</v>
      </c>
      <c r="J18" s="6">
        <v>4</v>
      </c>
      <c r="K18" s="6">
        <v>7</v>
      </c>
      <c r="L18" s="6">
        <v>6</v>
      </c>
      <c r="M18" s="6">
        <v>5</v>
      </c>
      <c r="N18" s="6">
        <v>5</v>
      </c>
      <c r="O18" s="6">
        <v>5</v>
      </c>
      <c r="P18" s="6">
        <v>3</v>
      </c>
      <c r="Q18" s="6">
        <v>4</v>
      </c>
      <c r="R18" s="6">
        <v>4</v>
      </c>
      <c r="S18" s="6">
        <v>6</v>
      </c>
      <c r="T18" s="6">
        <v>6</v>
      </c>
      <c r="U18" s="5">
        <f t="shared" si="0"/>
        <v>93</v>
      </c>
      <c r="V18" s="5">
        <v>17</v>
      </c>
      <c r="W18" s="5">
        <f t="shared" si="1"/>
        <v>17</v>
      </c>
      <c r="X18" s="5">
        <f t="shared" si="2"/>
        <v>76</v>
      </c>
    </row>
    <row r="19" spans="1:24" x14ac:dyDescent="0.2">
      <c r="A19" s="5" t="s">
        <v>48</v>
      </c>
      <c r="B19" s="5" t="s">
        <v>39</v>
      </c>
      <c r="C19" s="6">
        <v>6</v>
      </c>
      <c r="D19" s="6">
        <v>4</v>
      </c>
      <c r="E19" s="6">
        <v>5</v>
      </c>
      <c r="F19" s="6">
        <v>6</v>
      </c>
      <c r="G19" s="6">
        <v>4</v>
      </c>
      <c r="H19" s="6">
        <v>5</v>
      </c>
      <c r="I19" s="6">
        <v>4</v>
      </c>
      <c r="J19" s="6">
        <v>5</v>
      </c>
      <c r="K19" s="6">
        <v>5</v>
      </c>
      <c r="L19" s="6">
        <v>4</v>
      </c>
      <c r="M19" s="6">
        <v>4</v>
      </c>
      <c r="N19" s="6">
        <v>5</v>
      </c>
      <c r="O19" s="6">
        <v>5</v>
      </c>
      <c r="P19" s="6">
        <v>6</v>
      </c>
      <c r="Q19" s="6">
        <v>6</v>
      </c>
      <c r="R19" s="6">
        <v>6</v>
      </c>
      <c r="S19" s="6">
        <v>4</v>
      </c>
      <c r="T19" s="6">
        <v>7</v>
      </c>
      <c r="U19" s="5">
        <f t="shared" si="0"/>
        <v>91</v>
      </c>
      <c r="V19" s="5">
        <v>21</v>
      </c>
      <c r="W19" s="5">
        <f t="shared" si="1"/>
        <v>21</v>
      </c>
      <c r="X19" s="5">
        <f t="shared" si="2"/>
        <v>70</v>
      </c>
    </row>
    <row r="20" spans="1:24" x14ac:dyDescent="0.2">
      <c r="A20" s="7" t="s">
        <v>49</v>
      </c>
      <c r="B20" s="7" t="s">
        <v>39</v>
      </c>
      <c r="C20" s="8">
        <v>9</v>
      </c>
      <c r="D20" s="8">
        <v>4</v>
      </c>
      <c r="E20" s="8">
        <v>7</v>
      </c>
      <c r="F20" s="8">
        <v>9</v>
      </c>
      <c r="G20" s="8">
        <v>6</v>
      </c>
      <c r="H20" s="8">
        <v>6</v>
      </c>
      <c r="I20" s="8">
        <v>4</v>
      </c>
      <c r="J20" s="8">
        <v>4</v>
      </c>
      <c r="K20" s="8">
        <v>4</v>
      </c>
      <c r="L20" s="8">
        <v>7</v>
      </c>
      <c r="M20" s="8">
        <v>6</v>
      </c>
      <c r="N20" s="8">
        <v>7</v>
      </c>
      <c r="O20" s="8">
        <v>4</v>
      </c>
      <c r="P20" s="8">
        <v>3</v>
      </c>
      <c r="Q20" s="8">
        <v>9</v>
      </c>
      <c r="R20" s="8">
        <v>7</v>
      </c>
      <c r="S20" s="8">
        <v>3</v>
      </c>
      <c r="T20" s="8">
        <v>8</v>
      </c>
      <c r="U20" s="7">
        <f t="shared" si="0"/>
        <v>107</v>
      </c>
      <c r="V20" s="7">
        <v>18</v>
      </c>
      <c r="W20" s="7">
        <f t="shared" si="1"/>
        <v>18</v>
      </c>
      <c r="X20" s="7">
        <f t="shared" si="2"/>
        <v>89</v>
      </c>
    </row>
    <row r="21" spans="1:24" x14ac:dyDescent="0.2">
      <c r="A21" s="7" t="s">
        <v>50</v>
      </c>
      <c r="B21" s="7" t="s">
        <v>51</v>
      </c>
      <c r="C21" s="8">
        <v>5</v>
      </c>
      <c r="D21" s="8">
        <v>4</v>
      </c>
      <c r="E21" s="8">
        <v>5</v>
      </c>
      <c r="F21" s="8">
        <v>8</v>
      </c>
      <c r="G21" s="8">
        <v>6</v>
      </c>
      <c r="H21" s="8">
        <v>5</v>
      </c>
      <c r="I21" s="8">
        <v>3</v>
      </c>
      <c r="J21" s="8">
        <v>4</v>
      </c>
      <c r="K21" s="8">
        <v>4</v>
      </c>
      <c r="L21" s="8">
        <v>5</v>
      </c>
      <c r="M21" s="8">
        <v>5</v>
      </c>
      <c r="N21" s="8">
        <v>5</v>
      </c>
      <c r="O21" s="8">
        <v>5</v>
      </c>
      <c r="P21" s="8">
        <v>3</v>
      </c>
      <c r="Q21" s="8">
        <v>4</v>
      </c>
      <c r="R21" s="8">
        <v>4</v>
      </c>
      <c r="S21" s="8">
        <v>4</v>
      </c>
      <c r="T21" s="8">
        <v>4</v>
      </c>
      <c r="U21" s="7">
        <f t="shared" si="0"/>
        <v>83</v>
      </c>
      <c r="V21" s="7"/>
      <c r="W21" s="7" t="str">
        <f t="shared" si="1"/>
        <v/>
      </c>
      <c r="X21" s="7" t="str">
        <f t="shared" si="2"/>
        <v/>
      </c>
    </row>
  </sheetData>
  <mergeCells count="1"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showGridLines="0" tabSelected="1" workbookViewId="0">
      <pane xSplit="2" ySplit="7" topLeftCell="C8" activePane="bottomRight" state="frozen"/>
      <selection pane="topRight"/>
      <selection pane="bottomLeft"/>
      <selection pane="bottomRight" activeCell="D20" sqref="D20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20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5" ht="28" customHeight="1" x14ac:dyDescent="0.2">
      <c r="A1" s="14" t="s">
        <v>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">
      <c r="A2" s="1" t="s">
        <v>53</v>
      </c>
    </row>
    <row r="5" spans="1:25" x14ac:dyDescent="0.2">
      <c r="A5" t="s">
        <v>2</v>
      </c>
      <c r="B5" t="s">
        <v>3</v>
      </c>
      <c r="C5" s="2">
        <v>15</v>
      </c>
      <c r="D5" s="2">
        <v>5</v>
      </c>
      <c r="E5" s="2">
        <v>9</v>
      </c>
      <c r="F5" s="2">
        <v>7</v>
      </c>
      <c r="G5" s="2">
        <v>11</v>
      </c>
      <c r="H5" s="2">
        <v>3</v>
      </c>
      <c r="I5" s="2">
        <v>1</v>
      </c>
      <c r="J5" s="2">
        <v>17</v>
      </c>
      <c r="K5" s="2">
        <v>13</v>
      </c>
      <c r="L5" s="2">
        <v>10</v>
      </c>
      <c r="M5" s="2">
        <v>14</v>
      </c>
      <c r="N5" s="2">
        <v>2</v>
      </c>
      <c r="O5" s="2">
        <v>12</v>
      </c>
      <c r="P5" s="2">
        <v>8</v>
      </c>
      <c r="Q5" s="2">
        <v>18</v>
      </c>
      <c r="R5" s="2">
        <v>16</v>
      </c>
      <c r="S5" s="2">
        <v>4</v>
      </c>
      <c r="T5" s="2">
        <v>6</v>
      </c>
    </row>
    <row r="6" spans="1:25" x14ac:dyDescent="0.2">
      <c r="A6" t="s">
        <v>4</v>
      </c>
      <c r="C6" s="3">
        <v>5</v>
      </c>
      <c r="D6" s="3">
        <v>5</v>
      </c>
      <c r="E6" s="3">
        <v>4</v>
      </c>
      <c r="F6" s="3">
        <v>4</v>
      </c>
      <c r="G6" s="3">
        <v>3</v>
      </c>
      <c r="H6" s="3">
        <v>4</v>
      </c>
      <c r="I6" s="3">
        <v>5</v>
      </c>
      <c r="J6" s="3">
        <v>3</v>
      </c>
      <c r="K6" s="3">
        <v>4</v>
      </c>
      <c r="L6" s="3">
        <v>4</v>
      </c>
      <c r="M6" s="3">
        <v>3</v>
      </c>
      <c r="N6" s="3">
        <v>5</v>
      </c>
      <c r="O6" s="3">
        <v>3</v>
      </c>
      <c r="P6" s="3">
        <v>5</v>
      </c>
      <c r="Q6" s="3">
        <v>3</v>
      </c>
      <c r="R6" s="3">
        <v>4</v>
      </c>
      <c r="S6" s="3">
        <v>4</v>
      </c>
      <c r="T6" s="3">
        <v>4</v>
      </c>
    </row>
    <row r="7" spans="1:25" ht="24" customHeight="1" x14ac:dyDescent="0.2">
      <c r="A7" s="4" t="s">
        <v>5</v>
      </c>
      <c r="B7" s="4" t="s">
        <v>6</v>
      </c>
      <c r="C7" s="4" t="s">
        <v>7</v>
      </c>
      <c r="D7" s="4" t="s">
        <v>8</v>
      </c>
      <c r="E7" s="4" t="s">
        <v>9</v>
      </c>
      <c r="F7" s="4" t="s">
        <v>10</v>
      </c>
      <c r="G7" s="4" t="s">
        <v>11</v>
      </c>
      <c r="H7" s="4" t="s">
        <v>12</v>
      </c>
      <c r="I7" s="4" t="s">
        <v>13</v>
      </c>
      <c r="J7" s="4" t="s">
        <v>14</v>
      </c>
      <c r="K7" s="4" t="s">
        <v>15</v>
      </c>
      <c r="L7" s="4" t="s">
        <v>16</v>
      </c>
      <c r="M7" s="4" t="s">
        <v>17</v>
      </c>
      <c r="N7" s="4" t="s">
        <v>18</v>
      </c>
      <c r="O7" s="4" t="s">
        <v>19</v>
      </c>
      <c r="P7" s="4" t="s">
        <v>20</v>
      </c>
      <c r="Q7" s="4" t="s">
        <v>21</v>
      </c>
      <c r="R7" s="4" t="s">
        <v>22</v>
      </c>
      <c r="S7" s="4" t="s">
        <v>23</v>
      </c>
      <c r="T7" s="4" t="s">
        <v>24</v>
      </c>
      <c r="U7" s="4" t="s">
        <v>25</v>
      </c>
      <c r="V7" s="4" t="s">
        <v>26</v>
      </c>
      <c r="W7" s="4" t="s">
        <v>27</v>
      </c>
      <c r="X7" s="4" t="s">
        <v>28</v>
      </c>
    </row>
    <row r="8" spans="1:25" x14ac:dyDescent="0.2">
      <c r="A8" s="5" t="s">
        <v>31</v>
      </c>
      <c r="B8" s="5" t="s">
        <v>30</v>
      </c>
      <c r="C8" s="6">
        <v>5</v>
      </c>
      <c r="D8" s="6">
        <v>7</v>
      </c>
      <c r="E8" s="6">
        <v>5</v>
      </c>
      <c r="F8" s="6">
        <v>4</v>
      </c>
      <c r="G8" s="6">
        <v>4</v>
      </c>
      <c r="H8" s="6">
        <v>6</v>
      </c>
      <c r="I8" s="6">
        <v>7</v>
      </c>
      <c r="J8" s="6">
        <v>3</v>
      </c>
      <c r="K8" s="6">
        <v>5</v>
      </c>
      <c r="L8" s="6">
        <v>4</v>
      </c>
      <c r="M8" s="6">
        <v>3</v>
      </c>
      <c r="N8" s="6">
        <v>6</v>
      </c>
      <c r="O8" s="6">
        <v>4</v>
      </c>
      <c r="P8" s="6">
        <v>5</v>
      </c>
      <c r="Q8" s="6">
        <v>2</v>
      </c>
      <c r="R8" s="6">
        <v>6</v>
      </c>
      <c r="S8" s="6">
        <v>5</v>
      </c>
      <c r="T8" s="6">
        <v>5</v>
      </c>
      <c r="U8" s="5">
        <f t="shared" ref="U8:U22" si="0">IF(COUNT(C8:T8)=18,SUM(C8:T8),"")</f>
        <v>86</v>
      </c>
      <c r="V8" s="5">
        <v>10</v>
      </c>
      <c r="W8" s="5">
        <f t="shared" ref="W8:W22" si="1">IF(V8="","",MIN(V8,26))</f>
        <v>10</v>
      </c>
      <c r="X8" s="5">
        <f t="shared" ref="X8:X22" si="2">IF(OR(U8="",W8=""),"",U8-W8)</f>
        <v>76</v>
      </c>
    </row>
    <row r="9" spans="1:25" x14ac:dyDescent="0.2">
      <c r="A9" s="5" t="s">
        <v>33</v>
      </c>
      <c r="B9" s="5" t="s">
        <v>30</v>
      </c>
      <c r="C9" s="6">
        <v>5</v>
      </c>
      <c r="D9" s="6">
        <v>6</v>
      </c>
      <c r="E9" s="6">
        <v>5</v>
      </c>
      <c r="F9" s="6">
        <v>4</v>
      </c>
      <c r="G9" s="6">
        <v>4</v>
      </c>
      <c r="H9" s="6">
        <v>5</v>
      </c>
      <c r="I9" s="6">
        <v>6</v>
      </c>
      <c r="J9" s="6">
        <v>4</v>
      </c>
      <c r="K9" s="6">
        <v>5</v>
      </c>
      <c r="L9" s="6">
        <v>5</v>
      </c>
      <c r="M9" s="6">
        <v>3</v>
      </c>
      <c r="N9" s="6">
        <v>6</v>
      </c>
      <c r="O9" s="6">
        <v>6</v>
      </c>
      <c r="P9" s="6">
        <v>5</v>
      </c>
      <c r="Q9" s="6">
        <v>4</v>
      </c>
      <c r="R9" s="6">
        <v>6</v>
      </c>
      <c r="S9" s="6">
        <v>6</v>
      </c>
      <c r="T9" s="6">
        <v>6</v>
      </c>
      <c r="U9" s="5">
        <f t="shared" si="0"/>
        <v>91</v>
      </c>
      <c r="V9" s="5">
        <v>13</v>
      </c>
      <c r="W9" s="5">
        <f t="shared" si="1"/>
        <v>13</v>
      </c>
      <c r="X9" s="5">
        <f t="shared" si="2"/>
        <v>78</v>
      </c>
    </row>
    <row r="10" spans="1:25" x14ac:dyDescent="0.2">
      <c r="A10" s="5" t="s">
        <v>34</v>
      </c>
      <c r="B10" s="5" t="s">
        <v>30</v>
      </c>
      <c r="C10" s="6">
        <v>5</v>
      </c>
      <c r="D10" s="6">
        <v>8</v>
      </c>
      <c r="E10" s="6">
        <v>6</v>
      </c>
      <c r="F10" s="6">
        <v>5</v>
      </c>
      <c r="G10" s="6">
        <v>3</v>
      </c>
      <c r="H10" s="6">
        <v>5</v>
      </c>
      <c r="I10" s="6">
        <v>6</v>
      </c>
      <c r="J10" s="6">
        <v>3</v>
      </c>
      <c r="K10" s="6">
        <v>5</v>
      </c>
      <c r="L10" s="6">
        <v>4</v>
      </c>
      <c r="M10" s="6">
        <v>4</v>
      </c>
      <c r="N10" s="6">
        <v>6</v>
      </c>
      <c r="O10" s="6">
        <v>7</v>
      </c>
      <c r="P10" s="6">
        <v>6</v>
      </c>
      <c r="Q10" s="6">
        <v>4</v>
      </c>
      <c r="R10" s="6">
        <v>6</v>
      </c>
      <c r="S10" s="6">
        <v>6</v>
      </c>
      <c r="T10" s="6">
        <v>5</v>
      </c>
      <c r="U10" s="5">
        <f t="shared" si="0"/>
        <v>94</v>
      </c>
      <c r="V10" s="5">
        <v>17</v>
      </c>
      <c r="W10" s="5">
        <f t="shared" si="1"/>
        <v>17</v>
      </c>
      <c r="X10" s="5">
        <f t="shared" si="2"/>
        <v>77</v>
      </c>
    </row>
    <row r="11" spans="1:25" x14ac:dyDescent="0.2">
      <c r="A11" s="5" t="s">
        <v>35</v>
      </c>
      <c r="B11" s="5" t="s">
        <v>30</v>
      </c>
      <c r="C11" s="6">
        <v>5</v>
      </c>
      <c r="D11" s="6">
        <v>6</v>
      </c>
      <c r="E11" s="6">
        <v>7</v>
      </c>
      <c r="F11" s="6">
        <v>5</v>
      </c>
      <c r="G11" s="6">
        <v>3</v>
      </c>
      <c r="H11" s="6">
        <v>5</v>
      </c>
      <c r="I11" s="6">
        <v>8</v>
      </c>
      <c r="J11" s="6">
        <v>4</v>
      </c>
      <c r="K11" s="6">
        <v>6</v>
      </c>
      <c r="L11" s="6">
        <v>5</v>
      </c>
      <c r="M11" s="6">
        <v>2</v>
      </c>
      <c r="N11" s="6">
        <v>6</v>
      </c>
      <c r="O11" s="6">
        <v>5</v>
      </c>
      <c r="P11" s="6">
        <v>7</v>
      </c>
      <c r="Q11" s="6">
        <v>5</v>
      </c>
      <c r="R11" s="6">
        <v>6</v>
      </c>
      <c r="S11" s="6">
        <v>8</v>
      </c>
      <c r="T11" s="6">
        <v>6</v>
      </c>
      <c r="U11" s="5">
        <f t="shared" si="0"/>
        <v>99</v>
      </c>
      <c r="V11" s="5">
        <v>21</v>
      </c>
      <c r="W11" s="5">
        <f t="shared" si="1"/>
        <v>21</v>
      </c>
      <c r="X11" s="5">
        <f t="shared" si="2"/>
        <v>78</v>
      </c>
    </row>
    <row r="12" spans="1:25" x14ac:dyDescent="0.2">
      <c r="A12" s="5" t="s">
        <v>36</v>
      </c>
      <c r="B12" s="5" t="s">
        <v>30</v>
      </c>
      <c r="C12" s="6">
        <v>7</v>
      </c>
      <c r="D12" s="6">
        <v>6</v>
      </c>
      <c r="E12" s="6">
        <v>6</v>
      </c>
      <c r="F12" s="6">
        <v>5</v>
      </c>
      <c r="G12" s="6">
        <v>7</v>
      </c>
      <c r="H12" s="6">
        <v>6</v>
      </c>
      <c r="I12" s="6">
        <v>8</v>
      </c>
      <c r="J12" s="6">
        <v>4</v>
      </c>
      <c r="K12" s="6">
        <v>5</v>
      </c>
      <c r="L12" s="6">
        <v>5</v>
      </c>
      <c r="M12" s="6">
        <v>4</v>
      </c>
      <c r="N12" s="6">
        <v>7</v>
      </c>
      <c r="O12" s="6">
        <v>4</v>
      </c>
      <c r="P12" s="6">
        <v>6</v>
      </c>
      <c r="Q12" s="6">
        <v>4</v>
      </c>
      <c r="R12" s="6">
        <v>5</v>
      </c>
      <c r="S12" s="6">
        <v>6</v>
      </c>
      <c r="T12" s="6">
        <v>6</v>
      </c>
      <c r="U12" s="5">
        <f t="shared" si="0"/>
        <v>101</v>
      </c>
      <c r="V12" s="5">
        <v>21</v>
      </c>
      <c r="W12" s="5">
        <f t="shared" si="1"/>
        <v>21</v>
      </c>
      <c r="X12" s="5">
        <f t="shared" si="2"/>
        <v>80</v>
      </c>
    </row>
    <row r="13" spans="1:25" x14ac:dyDescent="0.2">
      <c r="A13" s="5" t="s">
        <v>37</v>
      </c>
      <c r="B13" s="5" t="s">
        <v>30</v>
      </c>
      <c r="C13" s="6">
        <v>6</v>
      </c>
      <c r="D13" s="6">
        <v>7</v>
      </c>
      <c r="E13" s="6">
        <v>6</v>
      </c>
      <c r="F13" s="6">
        <v>5</v>
      </c>
      <c r="G13" s="6">
        <v>4</v>
      </c>
      <c r="H13" s="6">
        <v>8</v>
      </c>
      <c r="I13" s="6">
        <v>8</v>
      </c>
      <c r="J13" s="6">
        <v>4</v>
      </c>
      <c r="K13" s="6">
        <v>6</v>
      </c>
      <c r="L13" s="6">
        <v>6</v>
      </c>
      <c r="M13" s="6">
        <v>3</v>
      </c>
      <c r="N13" s="6">
        <v>6</v>
      </c>
      <c r="O13" s="6">
        <v>10</v>
      </c>
      <c r="P13" s="6">
        <v>9</v>
      </c>
      <c r="Q13" s="6">
        <v>3</v>
      </c>
      <c r="R13" s="6">
        <v>6</v>
      </c>
      <c r="S13" s="6">
        <v>5</v>
      </c>
      <c r="T13" s="6">
        <v>8</v>
      </c>
      <c r="U13" s="5">
        <f t="shared" si="0"/>
        <v>110</v>
      </c>
      <c r="V13" s="5">
        <v>27</v>
      </c>
      <c r="W13" s="5">
        <f t="shared" si="1"/>
        <v>26</v>
      </c>
      <c r="X13" s="5">
        <f t="shared" si="2"/>
        <v>84</v>
      </c>
    </row>
    <row r="14" spans="1:25" x14ac:dyDescent="0.2">
      <c r="A14" s="5" t="s">
        <v>38</v>
      </c>
      <c r="B14" s="5" t="s">
        <v>39</v>
      </c>
      <c r="C14" s="6">
        <v>5</v>
      </c>
      <c r="D14" s="6">
        <v>7</v>
      </c>
      <c r="E14" s="6">
        <v>5</v>
      </c>
      <c r="F14" s="6">
        <v>5</v>
      </c>
      <c r="G14" s="6">
        <v>4</v>
      </c>
      <c r="H14" s="6">
        <v>6</v>
      </c>
      <c r="I14" s="6">
        <v>5</v>
      </c>
      <c r="J14" s="6">
        <v>3</v>
      </c>
      <c r="K14" s="6">
        <v>5</v>
      </c>
      <c r="L14" s="6">
        <v>4</v>
      </c>
      <c r="M14" s="6">
        <v>6</v>
      </c>
      <c r="N14" s="6">
        <v>4</v>
      </c>
      <c r="O14" s="6">
        <v>4</v>
      </c>
      <c r="P14" s="6">
        <v>6</v>
      </c>
      <c r="Q14" s="6">
        <v>6</v>
      </c>
      <c r="R14" s="6">
        <v>7</v>
      </c>
      <c r="S14" s="6">
        <v>4</v>
      </c>
      <c r="T14" s="6">
        <v>5</v>
      </c>
      <c r="U14" s="5">
        <f t="shared" si="0"/>
        <v>91</v>
      </c>
      <c r="V14" s="5">
        <v>6</v>
      </c>
      <c r="W14" s="5">
        <f t="shared" si="1"/>
        <v>6</v>
      </c>
      <c r="X14" s="5">
        <f t="shared" si="2"/>
        <v>85</v>
      </c>
    </row>
    <row r="15" spans="1:25" x14ac:dyDescent="0.2">
      <c r="A15" s="5" t="s">
        <v>40</v>
      </c>
      <c r="B15" s="5" t="s">
        <v>39</v>
      </c>
      <c r="C15" s="6">
        <v>7</v>
      </c>
      <c r="D15" s="6">
        <v>5</v>
      </c>
      <c r="E15" s="6">
        <v>6</v>
      </c>
      <c r="F15" s="6">
        <v>4</v>
      </c>
      <c r="G15" s="6">
        <v>3</v>
      </c>
      <c r="H15" s="6">
        <v>4</v>
      </c>
      <c r="I15" s="6">
        <v>6</v>
      </c>
      <c r="J15" s="6">
        <v>3</v>
      </c>
      <c r="K15" s="6">
        <v>7</v>
      </c>
      <c r="L15" s="6">
        <v>6</v>
      </c>
      <c r="M15" s="6">
        <v>3</v>
      </c>
      <c r="N15" s="6">
        <v>8</v>
      </c>
      <c r="O15" s="6">
        <v>4</v>
      </c>
      <c r="P15" s="6">
        <v>5</v>
      </c>
      <c r="Q15" s="6">
        <v>3</v>
      </c>
      <c r="R15" s="6">
        <v>4</v>
      </c>
      <c r="S15" s="6">
        <v>6</v>
      </c>
      <c r="T15" s="6">
        <v>6</v>
      </c>
      <c r="U15" s="5">
        <f t="shared" si="0"/>
        <v>90</v>
      </c>
      <c r="V15" s="5">
        <v>11</v>
      </c>
      <c r="W15" s="5">
        <f t="shared" si="1"/>
        <v>11</v>
      </c>
      <c r="X15" s="5">
        <f t="shared" si="2"/>
        <v>79</v>
      </c>
    </row>
    <row r="16" spans="1:25" x14ac:dyDescent="0.2">
      <c r="A16" s="5" t="s">
        <v>41</v>
      </c>
      <c r="B16" s="5" t="s">
        <v>39</v>
      </c>
      <c r="C16" s="6">
        <v>6</v>
      </c>
      <c r="D16" s="6">
        <v>5</v>
      </c>
      <c r="E16" s="6">
        <v>6</v>
      </c>
      <c r="F16" s="6">
        <v>8</v>
      </c>
      <c r="G16" s="6">
        <v>5</v>
      </c>
      <c r="H16" s="6">
        <v>7</v>
      </c>
      <c r="I16" s="6">
        <v>9</v>
      </c>
      <c r="J16" s="6">
        <v>3</v>
      </c>
      <c r="K16" s="6">
        <v>5</v>
      </c>
      <c r="L16" s="6">
        <v>5</v>
      </c>
      <c r="M16" s="6">
        <v>3</v>
      </c>
      <c r="N16" s="6">
        <v>7</v>
      </c>
      <c r="O16" s="6">
        <v>4</v>
      </c>
      <c r="P16" s="6">
        <v>6</v>
      </c>
      <c r="Q16" s="6">
        <v>3</v>
      </c>
      <c r="R16" s="6">
        <v>5</v>
      </c>
      <c r="S16" s="6">
        <v>5</v>
      </c>
      <c r="T16" s="6">
        <v>6</v>
      </c>
      <c r="U16" s="5">
        <f t="shared" si="0"/>
        <v>98</v>
      </c>
      <c r="V16" s="5">
        <v>16</v>
      </c>
      <c r="W16" s="5">
        <f t="shared" si="1"/>
        <v>16</v>
      </c>
      <c r="X16" s="5">
        <f t="shared" si="2"/>
        <v>82</v>
      </c>
    </row>
    <row r="17" spans="1:24" x14ac:dyDescent="0.2">
      <c r="A17" s="5" t="s">
        <v>42</v>
      </c>
      <c r="B17" s="5" t="s">
        <v>39</v>
      </c>
      <c r="C17" s="6">
        <v>6</v>
      </c>
      <c r="D17" s="6">
        <v>5</v>
      </c>
      <c r="E17" s="6">
        <v>5</v>
      </c>
      <c r="F17" s="6">
        <v>5</v>
      </c>
      <c r="G17" s="6">
        <v>4</v>
      </c>
      <c r="H17" s="6">
        <v>4</v>
      </c>
      <c r="I17" s="6">
        <v>9</v>
      </c>
      <c r="J17" s="6">
        <v>4</v>
      </c>
      <c r="K17" s="6">
        <v>5</v>
      </c>
      <c r="L17" s="6">
        <v>4</v>
      </c>
      <c r="M17" s="6">
        <v>4</v>
      </c>
      <c r="N17" s="6">
        <v>6</v>
      </c>
      <c r="O17" s="6">
        <v>5</v>
      </c>
      <c r="P17" s="6">
        <v>7</v>
      </c>
      <c r="Q17" s="6">
        <v>4</v>
      </c>
      <c r="R17" s="6">
        <v>4</v>
      </c>
      <c r="S17" s="6">
        <v>4</v>
      </c>
      <c r="T17" s="6">
        <v>5</v>
      </c>
      <c r="U17" s="5">
        <f t="shared" si="0"/>
        <v>90</v>
      </c>
      <c r="V17" s="5">
        <v>12</v>
      </c>
      <c r="W17" s="5">
        <f t="shared" si="1"/>
        <v>12</v>
      </c>
      <c r="X17" s="5">
        <f t="shared" si="2"/>
        <v>78</v>
      </c>
    </row>
    <row r="18" spans="1:24" x14ac:dyDescent="0.2">
      <c r="A18" s="5" t="s">
        <v>43</v>
      </c>
      <c r="B18" s="5" t="s">
        <v>39</v>
      </c>
      <c r="C18" s="6">
        <v>6</v>
      </c>
      <c r="D18" s="6">
        <v>6</v>
      </c>
      <c r="E18" s="6">
        <v>6</v>
      </c>
      <c r="F18" s="6">
        <v>6</v>
      </c>
      <c r="G18" s="6">
        <v>5</v>
      </c>
      <c r="H18" s="6">
        <v>5</v>
      </c>
      <c r="I18" s="6">
        <v>7</v>
      </c>
      <c r="J18" s="6">
        <v>4</v>
      </c>
      <c r="K18" s="6">
        <v>8</v>
      </c>
      <c r="L18" s="6">
        <v>5</v>
      </c>
      <c r="M18" s="6">
        <v>6</v>
      </c>
      <c r="N18" s="6">
        <v>5</v>
      </c>
      <c r="O18" s="6">
        <v>4</v>
      </c>
      <c r="P18" s="6">
        <v>8</v>
      </c>
      <c r="Q18" s="6">
        <v>5</v>
      </c>
      <c r="R18" s="6">
        <v>5</v>
      </c>
      <c r="S18" s="6">
        <v>6</v>
      </c>
      <c r="T18" s="6">
        <v>5</v>
      </c>
      <c r="U18" s="5">
        <f t="shared" si="0"/>
        <v>102</v>
      </c>
      <c r="V18" s="5">
        <v>17</v>
      </c>
      <c r="W18" s="5">
        <f t="shared" si="1"/>
        <v>17</v>
      </c>
      <c r="X18" s="5">
        <f t="shared" si="2"/>
        <v>85</v>
      </c>
    </row>
    <row r="19" spans="1:24" x14ac:dyDescent="0.2">
      <c r="A19" s="5" t="s">
        <v>44</v>
      </c>
      <c r="B19" s="5" t="s">
        <v>39</v>
      </c>
      <c r="C19" s="6">
        <v>6</v>
      </c>
      <c r="D19" s="6">
        <v>6</v>
      </c>
      <c r="E19" s="6">
        <v>5</v>
      </c>
      <c r="F19" s="6">
        <v>7</v>
      </c>
      <c r="G19" s="6">
        <v>4</v>
      </c>
      <c r="H19" s="6">
        <v>6</v>
      </c>
      <c r="I19" s="6">
        <v>6</v>
      </c>
      <c r="J19" s="6">
        <v>4</v>
      </c>
      <c r="K19" s="6">
        <v>6</v>
      </c>
      <c r="L19" s="6">
        <v>7</v>
      </c>
      <c r="M19" s="6">
        <v>4</v>
      </c>
      <c r="N19" s="6">
        <v>7</v>
      </c>
      <c r="O19" s="6">
        <v>7</v>
      </c>
      <c r="P19" s="6">
        <v>7</v>
      </c>
      <c r="Q19" s="6">
        <v>2</v>
      </c>
      <c r="R19" s="6">
        <v>6</v>
      </c>
      <c r="S19" s="6">
        <v>6</v>
      </c>
      <c r="T19" s="6">
        <v>6</v>
      </c>
      <c r="U19" s="5">
        <f t="shared" si="0"/>
        <v>102</v>
      </c>
      <c r="V19" s="5">
        <v>18</v>
      </c>
      <c r="W19" s="5">
        <f t="shared" si="1"/>
        <v>18</v>
      </c>
      <c r="X19" s="5">
        <f t="shared" si="2"/>
        <v>84</v>
      </c>
    </row>
    <row r="20" spans="1:24" x14ac:dyDescent="0.2">
      <c r="A20" s="5" t="s">
        <v>48</v>
      </c>
      <c r="B20" s="5" t="s">
        <v>39</v>
      </c>
      <c r="C20" s="6">
        <v>6</v>
      </c>
      <c r="D20" s="6">
        <v>6</v>
      </c>
      <c r="E20" s="6">
        <v>5</v>
      </c>
      <c r="F20" s="6">
        <v>6</v>
      </c>
      <c r="G20" s="6">
        <v>4</v>
      </c>
      <c r="H20" s="6">
        <v>6</v>
      </c>
      <c r="I20" s="6">
        <v>6</v>
      </c>
      <c r="J20" s="6">
        <v>3</v>
      </c>
      <c r="K20" s="6">
        <v>5</v>
      </c>
      <c r="L20" s="6">
        <v>6</v>
      </c>
      <c r="M20" s="6">
        <v>4</v>
      </c>
      <c r="N20" s="6">
        <v>5</v>
      </c>
      <c r="O20" s="6">
        <v>4</v>
      </c>
      <c r="P20" s="6">
        <v>7</v>
      </c>
      <c r="Q20" s="6">
        <v>3</v>
      </c>
      <c r="R20" s="6">
        <v>5</v>
      </c>
      <c r="S20" s="6">
        <v>5</v>
      </c>
      <c r="T20" s="6">
        <v>4</v>
      </c>
      <c r="U20" s="5">
        <f t="shared" si="0"/>
        <v>90</v>
      </c>
      <c r="V20" s="5">
        <v>21</v>
      </c>
      <c r="W20" s="5">
        <f t="shared" si="1"/>
        <v>21</v>
      </c>
      <c r="X20" s="5">
        <f t="shared" si="2"/>
        <v>69</v>
      </c>
    </row>
    <row r="21" spans="1:24" x14ac:dyDescent="0.2">
      <c r="A21" s="7" t="s">
        <v>49</v>
      </c>
      <c r="B21" s="7" t="s">
        <v>30</v>
      </c>
      <c r="C21" s="8">
        <v>8</v>
      </c>
      <c r="D21" s="8">
        <v>6</v>
      </c>
      <c r="E21" s="8">
        <v>6</v>
      </c>
      <c r="F21" s="8">
        <v>5</v>
      </c>
      <c r="G21" s="8">
        <v>4</v>
      </c>
      <c r="H21" s="8">
        <v>11</v>
      </c>
      <c r="I21" s="8">
        <v>10</v>
      </c>
      <c r="J21" s="8">
        <v>6</v>
      </c>
      <c r="K21" s="8">
        <v>8</v>
      </c>
      <c r="L21" s="8">
        <v>6</v>
      </c>
      <c r="M21" s="8">
        <v>5</v>
      </c>
      <c r="N21" s="8">
        <v>5</v>
      </c>
      <c r="O21" s="8">
        <v>4</v>
      </c>
      <c r="P21" s="8">
        <v>8</v>
      </c>
      <c r="Q21" s="8">
        <v>6</v>
      </c>
      <c r="R21" s="8">
        <v>6</v>
      </c>
      <c r="S21" s="8">
        <v>9</v>
      </c>
      <c r="T21" s="8">
        <v>7</v>
      </c>
      <c r="U21" s="7">
        <f t="shared" si="0"/>
        <v>120</v>
      </c>
      <c r="V21" s="7">
        <v>19</v>
      </c>
      <c r="W21" s="7">
        <f t="shared" si="1"/>
        <v>19</v>
      </c>
      <c r="X21" s="7">
        <f t="shared" si="2"/>
        <v>101</v>
      </c>
    </row>
    <row r="22" spans="1:24" x14ac:dyDescent="0.2">
      <c r="A22" s="7" t="s">
        <v>54</v>
      </c>
      <c r="B22" s="7" t="s">
        <v>39</v>
      </c>
      <c r="C22" s="8">
        <v>5</v>
      </c>
      <c r="D22" s="8">
        <v>7</v>
      </c>
      <c r="E22" s="8">
        <v>5</v>
      </c>
      <c r="F22" s="8">
        <v>4</v>
      </c>
      <c r="G22" s="8">
        <v>4</v>
      </c>
      <c r="H22" s="8">
        <v>10</v>
      </c>
      <c r="I22" s="8">
        <v>7</v>
      </c>
      <c r="J22" s="8">
        <v>5</v>
      </c>
      <c r="K22" s="8">
        <v>6</v>
      </c>
      <c r="L22" s="8">
        <v>4</v>
      </c>
      <c r="M22" s="8">
        <v>5</v>
      </c>
      <c r="N22" s="8">
        <v>10</v>
      </c>
      <c r="O22" s="8">
        <v>5</v>
      </c>
      <c r="P22" s="8">
        <v>8</v>
      </c>
      <c r="Q22" s="8">
        <v>2</v>
      </c>
      <c r="R22" s="8">
        <v>5</v>
      </c>
      <c r="S22" s="8">
        <v>5</v>
      </c>
      <c r="T22" s="8">
        <v>7</v>
      </c>
      <c r="U22" s="7">
        <f t="shared" si="0"/>
        <v>104</v>
      </c>
      <c r="V22" s="7">
        <v>20</v>
      </c>
      <c r="W22" s="7">
        <f t="shared" si="1"/>
        <v>20</v>
      </c>
      <c r="X22" s="7">
        <f t="shared" si="2"/>
        <v>84</v>
      </c>
    </row>
  </sheetData>
  <mergeCells count="1"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5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O39" sqref="O39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10" width="10" customWidth="1"/>
    <col min="14" max="14" width="4.5" bestFit="1" customWidth="1"/>
    <col min="15" max="15" width="14.83203125" bestFit="1" customWidth="1"/>
    <col min="16" max="16" width="17.83203125" bestFit="1" customWidth="1"/>
    <col min="17" max="17" width="7.6640625" bestFit="1" customWidth="1"/>
    <col min="18" max="18" width="8.33203125" bestFit="1" customWidth="1"/>
  </cols>
  <sheetData>
    <row r="1" spans="1:10" ht="22" customHeight="1" x14ac:dyDescent="0.2">
      <c r="A1" s="16" t="s">
        <v>55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">
      <c r="A2" s="4" t="s">
        <v>5</v>
      </c>
      <c r="B2" s="4" t="s">
        <v>6</v>
      </c>
      <c r="C2" s="4" t="s">
        <v>56</v>
      </c>
      <c r="D2" s="4" t="s">
        <v>57</v>
      </c>
      <c r="E2" s="4" t="s">
        <v>58</v>
      </c>
      <c r="F2" s="4" t="s">
        <v>59</v>
      </c>
      <c r="G2" s="4" t="s">
        <v>60</v>
      </c>
      <c r="H2" s="4" t="s">
        <v>61</v>
      </c>
      <c r="I2" s="4" t="s">
        <v>62</v>
      </c>
      <c r="J2" s="4" t="s">
        <v>63</v>
      </c>
    </row>
    <row r="3" spans="1:10" x14ac:dyDescent="0.2">
      <c r="A3" s="5" t="s">
        <v>29</v>
      </c>
      <c r="B3" s="5" t="s">
        <v>30</v>
      </c>
      <c r="C3" s="6">
        <v>0</v>
      </c>
      <c r="D3" s="6">
        <v>-2</v>
      </c>
      <c r="E3" s="6"/>
      <c r="F3" s="6"/>
      <c r="G3" s="6">
        <v>0</v>
      </c>
      <c r="H3" s="6">
        <v>2</v>
      </c>
      <c r="I3" s="6">
        <f t="shared" ref="I3:I20" si="0">SUM(C3,E3,G3)</f>
        <v>0</v>
      </c>
      <c r="J3" s="6">
        <f>SUM(D3,F3,H3)</f>
        <v>0</v>
      </c>
    </row>
    <row r="4" spans="1:10" x14ac:dyDescent="0.2">
      <c r="A4" s="5" t="s">
        <v>31</v>
      </c>
      <c r="B4" s="5" t="s">
        <v>30</v>
      </c>
      <c r="C4" s="6">
        <v>0</v>
      </c>
      <c r="D4" s="6">
        <v>-2</v>
      </c>
      <c r="E4" s="6">
        <v>0</v>
      </c>
      <c r="F4" s="6">
        <v>-2</v>
      </c>
      <c r="G4" s="6">
        <v>1</v>
      </c>
      <c r="H4" s="6">
        <v>2</v>
      </c>
      <c r="I4" s="6">
        <f t="shared" si="0"/>
        <v>1</v>
      </c>
      <c r="J4" s="6">
        <f t="shared" ref="J4:J20" si="1">SUM(D4,F4,H4)</f>
        <v>-2</v>
      </c>
    </row>
    <row r="5" spans="1:10" x14ac:dyDescent="0.2">
      <c r="A5" s="5" t="s">
        <v>32</v>
      </c>
      <c r="B5" s="5" t="s">
        <v>30</v>
      </c>
      <c r="C5" s="6">
        <v>0</v>
      </c>
      <c r="D5" s="6">
        <v>-1</v>
      </c>
      <c r="E5" s="6"/>
      <c r="F5" s="6"/>
      <c r="G5" s="6"/>
      <c r="H5" s="6"/>
      <c r="I5" s="6">
        <f t="shared" si="0"/>
        <v>0</v>
      </c>
      <c r="J5" s="6">
        <f t="shared" si="1"/>
        <v>-1</v>
      </c>
    </row>
    <row r="6" spans="1:10" x14ac:dyDescent="0.2">
      <c r="A6" s="5" t="s">
        <v>33</v>
      </c>
      <c r="B6" s="5" t="s">
        <v>30</v>
      </c>
      <c r="C6" s="6">
        <v>0</v>
      </c>
      <c r="D6" s="6">
        <v>-1</v>
      </c>
      <c r="E6" s="6"/>
      <c r="F6" s="6"/>
      <c r="G6" s="6">
        <v>1</v>
      </c>
      <c r="H6" s="6">
        <v>1</v>
      </c>
      <c r="I6" s="6">
        <f t="shared" si="0"/>
        <v>1</v>
      </c>
      <c r="J6" s="6">
        <f t="shared" si="1"/>
        <v>0</v>
      </c>
    </row>
    <row r="7" spans="1:10" x14ac:dyDescent="0.2">
      <c r="A7" s="5" t="s">
        <v>34</v>
      </c>
      <c r="B7" s="5" t="s">
        <v>30</v>
      </c>
      <c r="C7" s="6">
        <v>0</v>
      </c>
      <c r="D7" s="6">
        <v>-7</v>
      </c>
      <c r="E7" s="6">
        <v>0</v>
      </c>
      <c r="F7" s="6">
        <v>-5</v>
      </c>
      <c r="G7" s="6">
        <v>1</v>
      </c>
      <c r="H7" s="6">
        <v>1</v>
      </c>
      <c r="I7" s="6">
        <f t="shared" si="0"/>
        <v>1</v>
      </c>
      <c r="J7" s="6">
        <f t="shared" si="1"/>
        <v>-11</v>
      </c>
    </row>
    <row r="8" spans="1:10" x14ac:dyDescent="0.2">
      <c r="A8" s="5" t="s">
        <v>35</v>
      </c>
      <c r="B8" s="5" t="s">
        <v>30</v>
      </c>
      <c r="C8" s="6">
        <v>0</v>
      </c>
      <c r="D8" s="6">
        <v>-7</v>
      </c>
      <c r="E8" s="6">
        <v>0</v>
      </c>
      <c r="F8" s="6">
        <v>-2</v>
      </c>
      <c r="G8" s="6">
        <v>0</v>
      </c>
      <c r="H8" s="6">
        <v>2</v>
      </c>
      <c r="I8" s="6">
        <f t="shared" si="0"/>
        <v>0</v>
      </c>
      <c r="J8" s="6">
        <f t="shared" si="1"/>
        <v>-7</v>
      </c>
    </row>
    <row r="9" spans="1:10" x14ac:dyDescent="0.2">
      <c r="A9" s="5" t="s">
        <v>36</v>
      </c>
      <c r="B9" s="5" t="s">
        <v>30</v>
      </c>
      <c r="C9" s="6">
        <v>0.5</v>
      </c>
      <c r="D9" s="6">
        <v>8</v>
      </c>
      <c r="E9" s="6">
        <v>0.5</v>
      </c>
      <c r="F9" s="6">
        <v>1</v>
      </c>
      <c r="G9" s="6">
        <v>1</v>
      </c>
      <c r="H9" s="6">
        <v>2</v>
      </c>
      <c r="I9" s="6">
        <f t="shared" si="0"/>
        <v>2</v>
      </c>
      <c r="J9" s="6">
        <f t="shared" si="1"/>
        <v>11</v>
      </c>
    </row>
    <row r="10" spans="1:10" x14ac:dyDescent="0.2">
      <c r="A10" s="5" t="s">
        <v>37</v>
      </c>
      <c r="B10" s="5" t="s">
        <v>30</v>
      </c>
      <c r="C10" s="6">
        <v>0.5</v>
      </c>
      <c r="D10" s="6">
        <v>8</v>
      </c>
      <c r="E10" s="6">
        <v>0.5</v>
      </c>
      <c r="F10" s="6">
        <v>4</v>
      </c>
      <c r="G10" s="6">
        <v>0</v>
      </c>
      <c r="H10" s="6">
        <v>4</v>
      </c>
      <c r="I10" s="6">
        <f t="shared" si="0"/>
        <v>1</v>
      </c>
      <c r="J10" s="6">
        <f t="shared" si="1"/>
        <v>16</v>
      </c>
    </row>
    <row r="11" spans="1:10" x14ac:dyDescent="0.2">
      <c r="A11" s="5" t="s">
        <v>38</v>
      </c>
      <c r="B11" s="5" t="s">
        <v>39</v>
      </c>
      <c r="C11" s="6">
        <v>0.5</v>
      </c>
      <c r="D11" s="6">
        <v>2</v>
      </c>
      <c r="E11" s="6">
        <v>0.5</v>
      </c>
      <c r="F11" s="6">
        <v>2</v>
      </c>
      <c r="G11" s="6">
        <v>1</v>
      </c>
      <c r="H11" s="6">
        <v>-2</v>
      </c>
      <c r="I11" s="6">
        <f t="shared" si="0"/>
        <v>2</v>
      </c>
      <c r="J11" s="6">
        <f t="shared" si="1"/>
        <v>2</v>
      </c>
    </row>
    <row r="12" spans="1:10" x14ac:dyDescent="0.2">
      <c r="A12" s="5" t="s">
        <v>40</v>
      </c>
      <c r="B12" s="5" t="s">
        <v>39</v>
      </c>
      <c r="C12" s="6">
        <v>0.5</v>
      </c>
      <c r="D12" s="6">
        <v>2</v>
      </c>
      <c r="E12" s="6">
        <v>0.5</v>
      </c>
      <c r="F12" s="6">
        <v>5</v>
      </c>
      <c r="G12" s="6">
        <v>1</v>
      </c>
      <c r="H12" s="6">
        <v>-2</v>
      </c>
      <c r="I12" s="6">
        <f t="shared" si="0"/>
        <v>2</v>
      </c>
      <c r="J12" s="6">
        <f t="shared" si="1"/>
        <v>5</v>
      </c>
    </row>
    <row r="13" spans="1:10" x14ac:dyDescent="0.2">
      <c r="A13" s="5" t="s">
        <v>41</v>
      </c>
      <c r="B13" s="5" t="s">
        <v>39</v>
      </c>
      <c r="C13" s="6">
        <v>0.5</v>
      </c>
      <c r="D13" s="6">
        <v>1</v>
      </c>
      <c r="E13" s="6">
        <v>0.5</v>
      </c>
      <c r="F13" s="6">
        <v>5</v>
      </c>
      <c r="G13" s="6">
        <v>0</v>
      </c>
      <c r="H13" s="6">
        <v>-1</v>
      </c>
      <c r="I13" s="6">
        <f t="shared" si="0"/>
        <v>1</v>
      </c>
      <c r="J13" s="6">
        <f t="shared" si="1"/>
        <v>5</v>
      </c>
    </row>
    <row r="14" spans="1:10" x14ac:dyDescent="0.2">
      <c r="A14" s="5" t="s">
        <v>42</v>
      </c>
      <c r="B14" s="5" t="s">
        <v>39</v>
      </c>
      <c r="C14" s="6">
        <v>0.5</v>
      </c>
      <c r="D14" s="6">
        <v>1</v>
      </c>
      <c r="E14" s="6">
        <v>0</v>
      </c>
      <c r="F14" s="6">
        <v>-1</v>
      </c>
      <c r="G14" s="6">
        <v>0</v>
      </c>
      <c r="H14" s="6">
        <v>-1</v>
      </c>
      <c r="I14" s="6">
        <f t="shared" si="0"/>
        <v>0.5</v>
      </c>
      <c r="J14" s="6">
        <f t="shared" si="1"/>
        <v>-1</v>
      </c>
    </row>
    <row r="15" spans="1:10" x14ac:dyDescent="0.2">
      <c r="A15" s="5" t="s">
        <v>43</v>
      </c>
      <c r="B15" s="5" t="s">
        <v>39</v>
      </c>
      <c r="C15" s="6">
        <v>0.5</v>
      </c>
      <c r="D15" s="6">
        <v>7</v>
      </c>
      <c r="E15" s="6">
        <v>0.5</v>
      </c>
      <c r="F15" s="6">
        <v>2</v>
      </c>
      <c r="G15" s="6">
        <v>0</v>
      </c>
      <c r="H15" s="6">
        <v>-2</v>
      </c>
      <c r="I15" s="6">
        <f t="shared" si="0"/>
        <v>1</v>
      </c>
      <c r="J15" s="6">
        <f t="shared" si="1"/>
        <v>7</v>
      </c>
    </row>
    <row r="16" spans="1:10" x14ac:dyDescent="0.2">
      <c r="A16" s="5" t="s">
        <v>44</v>
      </c>
      <c r="B16" s="5" t="s">
        <v>39</v>
      </c>
      <c r="C16" s="6">
        <v>0.5</v>
      </c>
      <c r="D16" s="6">
        <v>7</v>
      </c>
      <c r="E16" s="6">
        <v>0</v>
      </c>
      <c r="F16" s="6">
        <v>-4</v>
      </c>
      <c r="G16" s="6">
        <v>1</v>
      </c>
      <c r="H16" s="6">
        <v>-5</v>
      </c>
      <c r="I16" s="6">
        <f t="shared" si="0"/>
        <v>1.5</v>
      </c>
      <c r="J16" s="6">
        <f t="shared" si="1"/>
        <v>-2</v>
      </c>
    </row>
    <row r="17" spans="1:18" x14ac:dyDescent="0.2">
      <c r="A17" s="5" t="s">
        <v>45</v>
      </c>
      <c r="B17" s="5" t="s">
        <v>39</v>
      </c>
      <c r="C17" s="6">
        <v>0</v>
      </c>
      <c r="D17" s="6">
        <v>-8</v>
      </c>
      <c r="E17" s="6"/>
      <c r="F17" s="6"/>
      <c r="G17" s="6"/>
      <c r="H17" s="6"/>
      <c r="I17" s="6">
        <f t="shared" si="0"/>
        <v>0</v>
      </c>
      <c r="J17" s="6">
        <f t="shared" si="1"/>
        <v>-8</v>
      </c>
    </row>
    <row r="18" spans="1:18" x14ac:dyDescent="0.2">
      <c r="A18" s="5" t="s">
        <v>48</v>
      </c>
      <c r="B18" s="5" t="s">
        <v>39</v>
      </c>
      <c r="C18" s="6"/>
      <c r="D18" s="6"/>
      <c r="E18" s="6">
        <v>0</v>
      </c>
      <c r="F18" s="6">
        <v>-1</v>
      </c>
      <c r="G18" s="6">
        <v>1</v>
      </c>
      <c r="H18" s="6">
        <v>-4</v>
      </c>
      <c r="I18" s="6">
        <f t="shared" si="0"/>
        <v>1</v>
      </c>
      <c r="J18" s="6">
        <f t="shared" si="1"/>
        <v>-5</v>
      </c>
    </row>
    <row r="19" spans="1:18" x14ac:dyDescent="0.2">
      <c r="A19" s="7" t="s">
        <v>49</v>
      </c>
      <c r="B19" s="7" t="s">
        <v>39</v>
      </c>
      <c r="C19" s="8">
        <v>0</v>
      </c>
      <c r="D19" s="8">
        <v>-8</v>
      </c>
      <c r="E19" s="8">
        <v>0</v>
      </c>
      <c r="F19" s="8">
        <v>-4</v>
      </c>
      <c r="G19" s="8">
        <v>0</v>
      </c>
      <c r="H19" s="8">
        <v>5</v>
      </c>
      <c r="I19" s="8">
        <f t="shared" si="0"/>
        <v>0</v>
      </c>
      <c r="J19" s="8">
        <f t="shared" si="1"/>
        <v>-7</v>
      </c>
    </row>
    <row r="20" spans="1:18" x14ac:dyDescent="0.2">
      <c r="A20" s="7" t="s">
        <v>54</v>
      </c>
      <c r="B20" s="7" t="s">
        <v>39</v>
      </c>
      <c r="C20" s="8"/>
      <c r="D20" s="8"/>
      <c r="E20" s="8"/>
      <c r="F20" s="8"/>
      <c r="G20" s="8">
        <v>0</v>
      </c>
      <c r="H20" s="8">
        <v>-2</v>
      </c>
      <c r="I20" s="8">
        <f t="shared" si="0"/>
        <v>0</v>
      </c>
      <c r="J20" s="8">
        <f t="shared" si="1"/>
        <v>-2</v>
      </c>
    </row>
    <row r="22" spans="1:18" x14ac:dyDescent="0.2">
      <c r="A22" s="9" t="s">
        <v>64</v>
      </c>
      <c r="I22">
        <f>SUMIF(B3:B20,"GRIS",I3:I20)</f>
        <v>6</v>
      </c>
      <c r="J22">
        <f>SUMIF(B3:B20,"GRIS",J3:J20)</f>
        <v>6</v>
      </c>
    </row>
    <row r="23" spans="1:18" x14ac:dyDescent="0.2">
      <c r="A23" s="9" t="s">
        <v>65</v>
      </c>
      <c r="I23">
        <f>SUMIF(B3:B20,"ROJO",I3:I20)</f>
        <v>9</v>
      </c>
      <c r="J23">
        <f>SUMIF(B3:B20,"ROJO",J3:J20)</f>
        <v>-6</v>
      </c>
    </row>
    <row r="30" spans="1:18" x14ac:dyDescent="0.2">
      <c r="N30" s="17" t="s">
        <v>66</v>
      </c>
      <c r="O30" s="15"/>
      <c r="P30" s="15"/>
      <c r="Q30" s="15"/>
      <c r="R30" s="15"/>
    </row>
    <row r="31" spans="1:18" x14ac:dyDescent="0.2">
      <c r="N31" s="4" t="s">
        <v>67</v>
      </c>
      <c r="O31" s="4" t="s">
        <v>68</v>
      </c>
      <c r="P31" s="4" t="s">
        <v>69</v>
      </c>
      <c r="Q31" s="4" t="s">
        <v>70</v>
      </c>
      <c r="R31" s="4" t="s">
        <v>71</v>
      </c>
    </row>
    <row r="32" spans="1:18" x14ac:dyDescent="0.2">
      <c r="N32" s="6" t="s">
        <v>72</v>
      </c>
      <c r="O32" s="6" t="s">
        <v>73</v>
      </c>
      <c r="P32" s="6" t="s">
        <v>74</v>
      </c>
      <c r="Q32" s="6" t="s">
        <v>30</v>
      </c>
      <c r="R32" s="6">
        <v>8</v>
      </c>
    </row>
    <row r="33" spans="14:18" x14ac:dyDescent="0.2">
      <c r="N33" s="6" t="s">
        <v>72</v>
      </c>
      <c r="O33" s="6" t="s">
        <v>75</v>
      </c>
      <c r="P33" s="6" t="s">
        <v>76</v>
      </c>
      <c r="Q33" s="6" t="s">
        <v>39</v>
      </c>
      <c r="R33" s="6">
        <v>7</v>
      </c>
    </row>
    <row r="34" spans="14:18" x14ac:dyDescent="0.2">
      <c r="N34" s="6" t="s">
        <v>72</v>
      </c>
      <c r="O34" s="6" t="s">
        <v>77</v>
      </c>
      <c r="P34" s="6" t="s">
        <v>78</v>
      </c>
      <c r="Q34" s="6" t="s">
        <v>39</v>
      </c>
      <c r="R34" s="6">
        <v>1</v>
      </c>
    </row>
    <row r="35" spans="14:18" x14ac:dyDescent="0.2">
      <c r="N35" s="6" t="s">
        <v>72</v>
      </c>
      <c r="O35" s="6" t="s">
        <v>79</v>
      </c>
      <c r="P35" s="6" t="s">
        <v>80</v>
      </c>
      <c r="Q35" s="6" t="s">
        <v>39</v>
      </c>
      <c r="R35" s="6">
        <v>2</v>
      </c>
    </row>
    <row r="37" spans="14:18" x14ac:dyDescent="0.2">
      <c r="N37" s="17" t="s">
        <v>81</v>
      </c>
      <c r="O37" s="15"/>
      <c r="P37" s="15"/>
      <c r="Q37" s="15"/>
      <c r="R37" s="15"/>
    </row>
    <row r="38" spans="14:18" x14ac:dyDescent="0.2">
      <c r="N38" s="4" t="s">
        <v>67</v>
      </c>
      <c r="O38" s="4" t="s">
        <v>68</v>
      </c>
      <c r="P38" s="4" t="s">
        <v>69</v>
      </c>
      <c r="Q38" s="4" t="s">
        <v>70</v>
      </c>
      <c r="R38" s="4" t="s">
        <v>71</v>
      </c>
    </row>
    <row r="39" spans="14:18" x14ac:dyDescent="0.2">
      <c r="N39" s="6" t="s">
        <v>72</v>
      </c>
      <c r="O39" s="6" t="s">
        <v>82</v>
      </c>
      <c r="P39" s="6" t="s">
        <v>83</v>
      </c>
      <c r="Q39" s="6" t="s">
        <v>30</v>
      </c>
      <c r="R39" s="6">
        <v>1</v>
      </c>
    </row>
    <row r="40" spans="14:18" x14ac:dyDescent="0.2">
      <c r="N40" s="6" t="s">
        <v>72</v>
      </c>
      <c r="O40" s="6" t="s">
        <v>84</v>
      </c>
      <c r="P40" s="6" t="s">
        <v>85</v>
      </c>
      <c r="Q40" s="6" t="s">
        <v>30</v>
      </c>
      <c r="R40" s="6">
        <v>4</v>
      </c>
    </row>
    <row r="41" spans="14:18" x14ac:dyDescent="0.2">
      <c r="N41" s="6" t="s">
        <v>72</v>
      </c>
      <c r="O41" s="6" t="s">
        <v>86</v>
      </c>
      <c r="P41" s="6" t="s">
        <v>87</v>
      </c>
      <c r="Q41" s="6" t="s">
        <v>39</v>
      </c>
      <c r="R41" s="6">
        <v>5</v>
      </c>
    </row>
    <row r="42" spans="14:18" x14ac:dyDescent="0.2">
      <c r="N42" s="6" t="s">
        <v>72</v>
      </c>
      <c r="O42" s="6" t="s">
        <v>88</v>
      </c>
      <c r="P42" s="6" t="s">
        <v>89</v>
      </c>
      <c r="Q42" s="6" t="s">
        <v>39</v>
      </c>
      <c r="R42" s="6">
        <v>2</v>
      </c>
    </row>
    <row r="44" spans="14:18" x14ac:dyDescent="0.2">
      <c r="N44" s="17" t="s">
        <v>90</v>
      </c>
      <c r="O44" s="15"/>
      <c r="P44" s="15"/>
      <c r="Q44" s="15"/>
      <c r="R44" s="15"/>
    </row>
    <row r="45" spans="14:18" x14ac:dyDescent="0.2">
      <c r="N45" s="4" t="s">
        <v>67</v>
      </c>
      <c r="O45" s="4" t="s">
        <v>68</v>
      </c>
      <c r="P45" s="4" t="s">
        <v>69</v>
      </c>
      <c r="Q45" s="4" t="s">
        <v>70</v>
      </c>
      <c r="R45" s="4" t="s">
        <v>71</v>
      </c>
    </row>
    <row r="46" spans="14:18" x14ac:dyDescent="0.2">
      <c r="N46" s="6" t="s">
        <v>91</v>
      </c>
      <c r="O46" s="6" t="s">
        <v>92</v>
      </c>
      <c r="P46" s="6" t="s">
        <v>93</v>
      </c>
      <c r="Q46" s="6" t="s">
        <v>39</v>
      </c>
      <c r="R46" s="6">
        <v>2</v>
      </c>
    </row>
    <row r="47" spans="14:18" x14ac:dyDescent="0.2">
      <c r="N47" s="6" t="s">
        <v>91</v>
      </c>
      <c r="O47" s="6" t="s">
        <v>84</v>
      </c>
      <c r="P47" s="6" t="s">
        <v>94</v>
      </c>
      <c r="Q47" s="6" t="s">
        <v>39</v>
      </c>
      <c r="R47" s="6">
        <v>4</v>
      </c>
    </row>
    <row r="48" spans="14:18" x14ac:dyDescent="0.2">
      <c r="N48" s="6" t="s">
        <v>91</v>
      </c>
      <c r="O48" s="6" t="s">
        <v>95</v>
      </c>
      <c r="P48" s="6" t="s">
        <v>96</v>
      </c>
      <c r="Q48" s="6" t="s">
        <v>39</v>
      </c>
      <c r="R48" s="6">
        <v>5</v>
      </c>
    </row>
    <row r="49" spans="14:18" x14ac:dyDescent="0.2">
      <c r="N49" s="6" t="s">
        <v>91</v>
      </c>
      <c r="O49" s="6" t="s">
        <v>82</v>
      </c>
      <c r="P49" s="6" t="s">
        <v>97</v>
      </c>
      <c r="Q49" s="6" t="s">
        <v>30</v>
      </c>
      <c r="R49" s="6">
        <v>2</v>
      </c>
    </row>
    <row r="50" spans="14:18" x14ac:dyDescent="0.2">
      <c r="N50" s="6" t="s">
        <v>91</v>
      </c>
      <c r="O50" s="6" t="s">
        <v>98</v>
      </c>
      <c r="P50" s="6" t="s">
        <v>99</v>
      </c>
      <c r="Q50" s="6" t="s">
        <v>30</v>
      </c>
      <c r="R50" s="6">
        <v>1</v>
      </c>
    </row>
    <row r="51" spans="14:18" x14ac:dyDescent="0.2">
      <c r="N51" s="6" t="s">
        <v>91</v>
      </c>
      <c r="O51" s="6" t="s">
        <v>100</v>
      </c>
      <c r="P51" s="6" t="s">
        <v>101</v>
      </c>
      <c r="Q51" s="6" t="s">
        <v>30</v>
      </c>
      <c r="R51" s="6">
        <v>2</v>
      </c>
    </row>
    <row r="52" spans="14:18" x14ac:dyDescent="0.2">
      <c r="N52" s="6" t="s">
        <v>91</v>
      </c>
      <c r="O52" s="6" t="s">
        <v>102</v>
      </c>
      <c r="P52" s="6" t="s">
        <v>103</v>
      </c>
      <c r="Q52" s="6" t="s">
        <v>39</v>
      </c>
      <c r="R52" s="6">
        <v>2</v>
      </c>
    </row>
    <row r="53" spans="14:18" x14ac:dyDescent="0.2">
      <c r="N53" s="6" t="s">
        <v>91</v>
      </c>
      <c r="O53" s="6" t="s">
        <v>86</v>
      </c>
      <c r="P53" s="6" t="s">
        <v>104</v>
      </c>
      <c r="Q53" s="6" t="s">
        <v>30</v>
      </c>
      <c r="R53" s="6">
        <v>1</v>
      </c>
    </row>
  </sheetData>
  <mergeCells count="4">
    <mergeCell ref="A1:J1"/>
    <mergeCell ref="N44:R44"/>
    <mergeCell ref="N30:R30"/>
    <mergeCell ref="N37:R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H30" sqref="H30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7" width="11" customWidth="1"/>
  </cols>
  <sheetData>
    <row r="1" spans="1:7" ht="22" customHeight="1" x14ac:dyDescent="0.2">
      <c r="A1" s="4" t="s">
        <v>5</v>
      </c>
      <c r="B1" s="4" t="s">
        <v>6</v>
      </c>
      <c r="C1" s="4" t="s">
        <v>105</v>
      </c>
      <c r="D1" s="4" t="s">
        <v>106</v>
      </c>
      <c r="E1" s="4" t="s">
        <v>107</v>
      </c>
      <c r="F1" s="4" t="s">
        <v>108</v>
      </c>
      <c r="G1" s="4" t="s">
        <v>109</v>
      </c>
    </row>
    <row r="2" spans="1:7" x14ac:dyDescent="0.2">
      <c r="A2" s="5" t="s">
        <v>29</v>
      </c>
      <c r="B2" s="5" t="s">
        <v>30</v>
      </c>
      <c r="C2" s="6">
        <f>IFERROR(INDEX('F1'!U:U, MATCH(A2, 'F1'!A:A, 0)), "")</f>
        <v>86</v>
      </c>
      <c r="D2" s="6" t="str">
        <f>IFERROR(INDEX('F2'!U:U, MATCH(A2, 'F2'!A:A, 0)), "")</f>
        <v/>
      </c>
      <c r="E2" s="6" t="str">
        <f>IFERROR(INDEX('F3'!U:U, MATCH(A2, 'F3'!A:A, 0)), "")</f>
        <v/>
      </c>
      <c r="F2" s="6">
        <f t="shared" ref="F2:F18" si="0">IFERROR(AVERAGE(C2:E2), "")</f>
        <v>86</v>
      </c>
      <c r="G2" s="6">
        <f t="shared" ref="G2:G18" si="1">IFERROR(MIN(C2:E2), "")</f>
        <v>86</v>
      </c>
    </row>
    <row r="3" spans="1:7" x14ac:dyDescent="0.2">
      <c r="A3" s="5" t="s">
        <v>31</v>
      </c>
      <c r="B3" s="5" t="s">
        <v>30</v>
      </c>
      <c r="C3" s="6">
        <f>IFERROR(INDEX('F1'!U:U, MATCH(A3, 'F1'!A:A, 0)), "")</f>
        <v>86</v>
      </c>
      <c r="D3" s="6">
        <f>IFERROR(INDEX('F2'!U:U, MATCH(A3, 'F2'!A:A, 0)), "")</f>
        <v>97</v>
      </c>
      <c r="E3" s="6">
        <f>IFERROR(INDEX('F3'!U:U, MATCH(A3, 'F3'!A:A, 0)), "")</f>
        <v>86</v>
      </c>
      <c r="F3" s="6">
        <f t="shared" si="0"/>
        <v>89.666666666666671</v>
      </c>
      <c r="G3" s="6">
        <f t="shared" si="1"/>
        <v>86</v>
      </c>
    </row>
    <row r="4" spans="1:7" x14ac:dyDescent="0.2">
      <c r="A4" s="5" t="s">
        <v>32</v>
      </c>
      <c r="B4" s="5" t="s">
        <v>30</v>
      </c>
      <c r="C4" s="6">
        <f>IFERROR(INDEX('F1'!U:U, MATCH(A4, 'F1'!A:A, 0)), "")</f>
        <v>87</v>
      </c>
      <c r="D4" s="6" t="str">
        <f>IFERROR(INDEX('F2'!U:U, MATCH(A4, 'F2'!A:A, 0)), "")</f>
        <v/>
      </c>
      <c r="E4" s="6" t="str">
        <f>IFERROR(INDEX('F3'!U:U, MATCH(A4, 'F3'!A:A, 0)), "")</f>
        <v/>
      </c>
      <c r="F4" s="6">
        <f t="shared" si="0"/>
        <v>87</v>
      </c>
      <c r="G4" s="6">
        <f t="shared" si="1"/>
        <v>87</v>
      </c>
    </row>
    <row r="5" spans="1:7" x14ac:dyDescent="0.2">
      <c r="A5" s="5" t="s">
        <v>33</v>
      </c>
      <c r="B5" s="5" t="s">
        <v>30</v>
      </c>
      <c r="C5" s="6">
        <f>IFERROR(INDEX('F1'!U:U, MATCH(A5, 'F1'!A:A, 0)), "")</f>
        <v>96</v>
      </c>
      <c r="D5" s="6" t="str">
        <f>IFERROR(INDEX('F2'!U:U, MATCH(A5, 'F2'!A:A, 0)), "")</f>
        <v/>
      </c>
      <c r="E5" s="6">
        <f>IFERROR(INDEX('F3'!U:U, MATCH(A5, 'F3'!A:A, 0)), "")</f>
        <v>91</v>
      </c>
      <c r="F5" s="6">
        <f t="shared" si="0"/>
        <v>93.5</v>
      </c>
      <c r="G5" s="6">
        <f t="shared" si="1"/>
        <v>91</v>
      </c>
    </row>
    <row r="6" spans="1:7" x14ac:dyDescent="0.2">
      <c r="A6" s="5" t="s">
        <v>34</v>
      </c>
      <c r="B6" s="5" t="s">
        <v>30</v>
      </c>
      <c r="C6" s="6">
        <f>IFERROR(INDEX('F1'!U:U, MATCH(A6, 'F1'!A:A, 0)), "")</f>
        <v>97</v>
      </c>
      <c r="D6" s="6">
        <f>IFERROR(INDEX('F2'!U:U, MATCH(A6, 'F2'!A:A, 0)), "")</f>
        <v>92</v>
      </c>
      <c r="E6" s="6">
        <f>IFERROR(INDEX('F3'!U:U, MATCH(A6, 'F3'!A:A, 0)), "")</f>
        <v>94</v>
      </c>
      <c r="F6" s="6">
        <f t="shared" si="0"/>
        <v>94.333333333333329</v>
      </c>
      <c r="G6" s="6">
        <f t="shared" si="1"/>
        <v>92</v>
      </c>
    </row>
    <row r="7" spans="1:7" x14ac:dyDescent="0.2">
      <c r="A7" s="5" t="s">
        <v>35</v>
      </c>
      <c r="B7" s="5" t="s">
        <v>30</v>
      </c>
      <c r="C7" s="6">
        <f>IFERROR(INDEX('F1'!U:U, MATCH(A7, 'F1'!A:A, 0)), "")</f>
        <v>111</v>
      </c>
      <c r="D7" s="6">
        <f>IFERROR(INDEX('F2'!U:U, MATCH(A7, 'F2'!A:A, 0)), "")</f>
        <v>93</v>
      </c>
      <c r="E7" s="6">
        <f>IFERROR(INDEX('F3'!U:U, MATCH(A7, 'F3'!A:A, 0)), "")</f>
        <v>99</v>
      </c>
      <c r="F7" s="6">
        <f t="shared" si="0"/>
        <v>101</v>
      </c>
      <c r="G7" s="6">
        <f t="shared" si="1"/>
        <v>93</v>
      </c>
    </row>
    <row r="8" spans="1:7" x14ac:dyDescent="0.2">
      <c r="A8" s="5" t="s">
        <v>36</v>
      </c>
      <c r="B8" s="5" t="s">
        <v>30</v>
      </c>
      <c r="C8" s="6">
        <f>IFERROR(INDEX('F1'!U:U, MATCH(A8, 'F1'!A:A, 0)), "")</f>
        <v>87</v>
      </c>
      <c r="D8" s="6">
        <f>IFERROR(INDEX('F2'!U:U, MATCH(A8, 'F2'!A:A, 0)), "")</f>
        <v>95</v>
      </c>
      <c r="E8" s="6">
        <f>IFERROR(INDEX('F3'!U:U, MATCH(A8, 'F3'!A:A, 0)), "")</f>
        <v>101</v>
      </c>
      <c r="F8" s="6">
        <f t="shared" si="0"/>
        <v>94.333333333333329</v>
      </c>
      <c r="G8" s="6">
        <f t="shared" si="1"/>
        <v>87</v>
      </c>
    </row>
    <row r="9" spans="1:7" x14ac:dyDescent="0.2">
      <c r="A9" s="5" t="s">
        <v>37</v>
      </c>
      <c r="B9" s="5" t="s">
        <v>30</v>
      </c>
      <c r="C9" s="6">
        <f>IFERROR(INDEX('F1'!U:U, MATCH(A9, 'F1'!A:A, 0)), "")</f>
        <v>93</v>
      </c>
      <c r="D9" s="6">
        <f>IFERROR(INDEX('F2'!U:U, MATCH(A9, 'F2'!A:A, 0)), "")</f>
        <v>95</v>
      </c>
      <c r="E9" s="6">
        <f>IFERROR(INDEX('F3'!U:U, MATCH(A9, 'F3'!A:A, 0)), "")</f>
        <v>110</v>
      </c>
      <c r="F9" s="6">
        <f t="shared" si="0"/>
        <v>99.333333333333329</v>
      </c>
      <c r="G9" s="6">
        <f t="shared" si="1"/>
        <v>93</v>
      </c>
    </row>
    <row r="10" spans="1:7" x14ac:dyDescent="0.2">
      <c r="A10" s="5" t="s">
        <v>38</v>
      </c>
      <c r="B10" s="5" t="s">
        <v>39</v>
      </c>
      <c r="C10" s="6">
        <f>IFERROR(INDEX('F1'!U:U, MATCH(A10, 'F1'!A:A, 0)), "")</f>
        <v>82</v>
      </c>
      <c r="D10" s="6">
        <f>IFERROR(INDEX('F2'!U:U, MATCH(A10, 'F2'!A:A, 0)), "")</f>
        <v>75</v>
      </c>
      <c r="E10" s="6">
        <f>IFERROR(INDEX('F3'!U:U, MATCH(A10, 'F3'!A:A, 0)), "")</f>
        <v>91</v>
      </c>
      <c r="F10" s="6">
        <f t="shared" si="0"/>
        <v>82.666666666666671</v>
      </c>
      <c r="G10" s="6">
        <f t="shared" si="1"/>
        <v>75</v>
      </c>
    </row>
    <row r="11" spans="1:7" x14ac:dyDescent="0.2">
      <c r="A11" s="5" t="s">
        <v>40</v>
      </c>
      <c r="B11" s="5" t="s">
        <v>39</v>
      </c>
      <c r="C11" s="6">
        <f>IFERROR(INDEX('F1'!U:U, MATCH(A11, 'F1'!A:A, 0)), "")</f>
        <v>86</v>
      </c>
      <c r="D11" s="6">
        <f>IFERROR(INDEX('F2'!U:U, MATCH(A11, 'F2'!A:A, 0)), "")</f>
        <v>83</v>
      </c>
      <c r="E11" s="6">
        <f>IFERROR(INDEX('F3'!U:U, MATCH(A11, 'F3'!A:A, 0)), "")</f>
        <v>90</v>
      </c>
      <c r="F11" s="6">
        <f t="shared" si="0"/>
        <v>86.333333333333329</v>
      </c>
      <c r="G11" s="6">
        <f t="shared" si="1"/>
        <v>83</v>
      </c>
    </row>
    <row r="12" spans="1:7" x14ac:dyDescent="0.2">
      <c r="A12" s="5" t="s">
        <v>41</v>
      </c>
      <c r="B12" s="5" t="s">
        <v>39</v>
      </c>
      <c r="C12" s="6">
        <f>IFERROR(INDEX('F1'!U:U, MATCH(A12, 'F1'!A:A, 0)), "")</f>
        <v>96</v>
      </c>
      <c r="D12" s="6">
        <f>IFERROR(INDEX('F2'!U:U, MATCH(A12, 'F2'!A:A, 0)), "")</f>
        <v>91</v>
      </c>
      <c r="E12" s="6">
        <f>IFERROR(INDEX('F3'!U:U, MATCH(A12, 'F3'!A:A, 0)), "")</f>
        <v>98</v>
      </c>
      <c r="F12" s="6">
        <f t="shared" si="0"/>
        <v>95</v>
      </c>
      <c r="G12" s="6">
        <f t="shared" si="1"/>
        <v>91</v>
      </c>
    </row>
    <row r="13" spans="1:7" x14ac:dyDescent="0.2">
      <c r="A13" s="5" t="s">
        <v>42</v>
      </c>
      <c r="B13" s="5" t="s">
        <v>39</v>
      </c>
      <c r="C13" s="6">
        <f>IFERROR(INDEX('F1'!U:U, MATCH(A13, 'F1'!A:A, 0)), "")</f>
        <v>84</v>
      </c>
      <c r="D13" s="6">
        <f>IFERROR(INDEX('F2'!U:U, MATCH(A13, 'F2'!A:A, 0)), "")</f>
        <v>100</v>
      </c>
      <c r="E13" s="6">
        <f>IFERROR(INDEX('F3'!U:U, MATCH(A13, 'F3'!A:A, 0)), "")</f>
        <v>90</v>
      </c>
      <c r="F13" s="6">
        <f t="shared" si="0"/>
        <v>91.333333333333329</v>
      </c>
      <c r="G13" s="6">
        <f t="shared" si="1"/>
        <v>84</v>
      </c>
    </row>
    <row r="14" spans="1:7" x14ac:dyDescent="0.2">
      <c r="A14" s="5" t="s">
        <v>43</v>
      </c>
      <c r="B14" s="5" t="s">
        <v>39</v>
      </c>
      <c r="C14" s="6">
        <f>IFERROR(INDEX('F1'!U:U, MATCH(A14, 'F1'!A:A, 0)), "")</f>
        <v>86</v>
      </c>
      <c r="D14" s="6">
        <f>IFERROR(INDEX('F2'!U:U, MATCH(A14, 'F2'!A:A, 0)), "")</f>
        <v>90</v>
      </c>
      <c r="E14" s="6">
        <f>IFERROR(INDEX('F3'!U:U, MATCH(A14, 'F3'!A:A, 0)), "")</f>
        <v>102</v>
      </c>
      <c r="F14" s="6">
        <f t="shared" si="0"/>
        <v>92.666666666666671</v>
      </c>
      <c r="G14" s="6">
        <f t="shared" si="1"/>
        <v>86</v>
      </c>
    </row>
    <row r="15" spans="1:7" x14ac:dyDescent="0.2">
      <c r="A15" s="5" t="s">
        <v>44</v>
      </c>
      <c r="B15" s="5" t="s">
        <v>39</v>
      </c>
      <c r="C15" s="6">
        <f>IFERROR(INDEX('F1'!U:U, MATCH(A15, 'F1'!A:A, 0)), "")</f>
        <v>86</v>
      </c>
      <c r="D15" s="6">
        <f>IFERROR(INDEX('F2'!U:U, MATCH(A15, 'F2'!A:A, 0)), "")</f>
        <v>93</v>
      </c>
      <c r="E15" s="6">
        <f>IFERROR(INDEX('F3'!U:U, MATCH(A15, 'F3'!A:A, 0)), "")</f>
        <v>102</v>
      </c>
      <c r="F15" s="6">
        <f t="shared" si="0"/>
        <v>93.666666666666671</v>
      </c>
      <c r="G15" s="6">
        <f t="shared" si="1"/>
        <v>86</v>
      </c>
    </row>
    <row r="16" spans="1:7" x14ac:dyDescent="0.2">
      <c r="A16" s="5" t="s">
        <v>45</v>
      </c>
      <c r="B16" s="5" t="s">
        <v>39</v>
      </c>
      <c r="C16" s="6">
        <f>IFERROR(INDEX('F1'!U:U, MATCH(A16, 'F1'!A:A, 0)), "")</f>
        <v>95</v>
      </c>
      <c r="D16" s="6" t="str">
        <f>IFERROR(INDEX('F2'!U:U, MATCH(A16, 'F2'!A:A, 0)), "")</f>
        <v/>
      </c>
      <c r="E16" s="6" t="str">
        <f>IFERROR(INDEX('F3'!U:U, MATCH(A16, 'F3'!A:A, 0)), "")</f>
        <v/>
      </c>
      <c r="F16" s="6">
        <f t="shared" si="0"/>
        <v>95</v>
      </c>
      <c r="G16" s="6">
        <f t="shared" si="1"/>
        <v>95</v>
      </c>
    </row>
    <row r="17" spans="1:7" x14ac:dyDescent="0.2">
      <c r="A17" s="5" t="s">
        <v>48</v>
      </c>
      <c r="B17" s="5" t="s">
        <v>39</v>
      </c>
      <c r="C17" s="6" t="str">
        <f>IFERROR(INDEX('F1'!U:U, MATCH(A17, 'F1'!A:A, 0)), "")</f>
        <v/>
      </c>
      <c r="D17" s="6">
        <f>IFERROR(INDEX('F2'!U:U, MATCH(A17, 'F2'!A:A, 0)), "")</f>
        <v>91</v>
      </c>
      <c r="E17" s="6">
        <f>IFERROR(INDEX('F3'!U:U, MATCH(A17, 'F3'!A:A, 0)), "")</f>
        <v>90</v>
      </c>
      <c r="F17" s="6">
        <f t="shared" si="0"/>
        <v>90.5</v>
      </c>
      <c r="G17" s="6">
        <f t="shared" si="1"/>
        <v>90</v>
      </c>
    </row>
    <row r="18" spans="1:7" x14ac:dyDescent="0.2">
      <c r="A18" s="7" t="s">
        <v>49</v>
      </c>
      <c r="B18" s="7" t="s">
        <v>51</v>
      </c>
      <c r="C18" s="8">
        <f>IFERROR(INDEX('F1'!U:U, MATCH(A18, 'F1'!A:A, 0)), "")</f>
        <v>117</v>
      </c>
      <c r="D18" s="8">
        <f>IFERROR(INDEX('F2'!U:U, MATCH(A18, 'F2'!A:A, 0)), "")</f>
        <v>107</v>
      </c>
      <c r="E18" s="8">
        <f>IFERROR(INDEX('F3'!U:U, MATCH(A18, 'F3'!A:A, 0)), "")</f>
        <v>120</v>
      </c>
      <c r="F18" s="8">
        <f t="shared" si="0"/>
        <v>114.66666666666667</v>
      </c>
      <c r="G18" s="8">
        <f t="shared" si="1"/>
        <v>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0"/>
  <sheetViews>
    <sheetView showGridLines="0" workbookViewId="0"/>
  </sheetViews>
  <sheetFormatPr baseColWidth="10" defaultColWidth="8.83203125" defaultRowHeight="15" x14ac:dyDescent="0.2"/>
  <cols>
    <col min="1" max="4" width="16" customWidth="1"/>
  </cols>
  <sheetData>
    <row r="1" spans="1:4" x14ac:dyDescent="0.2">
      <c r="A1" s="4" t="s">
        <v>110</v>
      </c>
      <c r="B1" s="4" t="s">
        <v>111</v>
      </c>
      <c r="C1" s="4" t="s">
        <v>112</v>
      </c>
      <c r="D1" s="4" t="s">
        <v>113</v>
      </c>
    </row>
    <row r="2" spans="1:4" x14ac:dyDescent="0.2">
      <c r="A2" s="6">
        <v>1</v>
      </c>
      <c r="B2" s="6">
        <v>500</v>
      </c>
      <c r="C2" s="6">
        <v>750</v>
      </c>
      <c r="D2" s="6">
        <v>1000</v>
      </c>
    </row>
    <row r="3" spans="1:4" x14ac:dyDescent="0.2">
      <c r="A3" s="6">
        <v>2</v>
      </c>
      <c r="B3" s="6">
        <v>300</v>
      </c>
      <c r="C3" s="6">
        <v>450</v>
      </c>
      <c r="D3" s="6">
        <v>600</v>
      </c>
    </row>
    <row r="4" spans="1:4" x14ac:dyDescent="0.2">
      <c r="A4" s="6">
        <v>3</v>
      </c>
      <c r="B4" s="6">
        <v>200</v>
      </c>
      <c r="C4" s="6">
        <v>300</v>
      </c>
      <c r="D4" s="6">
        <v>400</v>
      </c>
    </row>
    <row r="5" spans="1:4" x14ac:dyDescent="0.2">
      <c r="A5" s="6">
        <v>4</v>
      </c>
      <c r="B5" s="6">
        <v>150</v>
      </c>
      <c r="C5" s="6">
        <v>225</v>
      </c>
      <c r="D5" s="6">
        <v>300</v>
      </c>
    </row>
    <row r="6" spans="1:4" x14ac:dyDescent="0.2">
      <c r="A6" s="6">
        <v>5</v>
      </c>
      <c r="B6" s="6">
        <v>120</v>
      </c>
      <c r="C6" s="6">
        <v>180</v>
      </c>
      <c r="D6" s="6">
        <v>240</v>
      </c>
    </row>
    <row r="7" spans="1:4" x14ac:dyDescent="0.2">
      <c r="A7" s="6">
        <v>6</v>
      </c>
      <c r="B7" s="6">
        <v>100</v>
      </c>
      <c r="C7" s="6">
        <v>150</v>
      </c>
      <c r="D7" s="6">
        <v>200</v>
      </c>
    </row>
    <row r="8" spans="1:4" x14ac:dyDescent="0.2">
      <c r="A8" s="6">
        <v>7</v>
      </c>
      <c r="B8" s="6">
        <v>90</v>
      </c>
      <c r="C8" s="6">
        <v>135</v>
      </c>
      <c r="D8" s="6">
        <v>180</v>
      </c>
    </row>
    <row r="9" spans="1:4" x14ac:dyDescent="0.2">
      <c r="A9" s="6">
        <v>8</v>
      </c>
      <c r="B9" s="6">
        <v>80</v>
      </c>
      <c r="C9" s="6">
        <v>120</v>
      </c>
      <c r="D9" s="6">
        <v>160</v>
      </c>
    </row>
    <row r="10" spans="1:4" x14ac:dyDescent="0.2">
      <c r="A10" s="6">
        <v>9</v>
      </c>
      <c r="B10" s="6">
        <v>75</v>
      </c>
      <c r="C10" s="6">
        <v>112.5</v>
      </c>
      <c r="D10" s="6">
        <v>150</v>
      </c>
    </row>
    <row r="11" spans="1:4" x14ac:dyDescent="0.2">
      <c r="A11" s="6">
        <v>10</v>
      </c>
      <c r="B11" s="6">
        <v>70</v>
      </c>
      <c r="C11" s="6">
        <v>105</v>
      </c>
      <c r="D11" s="6">
        <v>140</v>
      </c>
    </row>
    <row r="12" spans="1:4" x14ac:dyDescent="0.2">
      <c r="A12" s="6">
        <v>11</v>
      </c>
      <c r="B12" s="6">
        <v>20</v>
      </c>
      <c r="C12" s="6">
        <v>30</v>
      </c>
      <c r="D12" s="6">
        <v>40</v>
      </c>
    </row>
    <row r="13" spans="1:4" x14ac:dyDescent="0.2">
      <c r="A13" s="6">
        <v>12</v>
      </c>
      <c r="B13" s="6">
        <v>20</v>
      </c>
      <c r="C13" s="6">
        <v>30</v>
      </c>
      <c r="D13" s="6">
        <v>40</v>
      </c>
    </row>
    <row r="14" spans="1:4" x14ac:dyDescent="0.2">
      <c r="A14" s="6">
        <v>13</v>
      </c>
      <c r="B14" s="6">
        <v>20</v>
      </c>
      <c r="C14" s="6">
        <v>30</v>
      </c>
      <c r="D14" s="6">
        <v>40</v>
      </c>
    </row>
    <row r="15" spans="1:4" x14ac:dyDescent="0.2">
      <c r="A15" s="6">
        <v>14</v>
      </c>
      <c r="B15" s="6">
        <v>20</v>
      </c>
      <c r="C15" s="6">
        <v>30</v>
      </c>
      <c r="D15" s="6">
        <v>40</v>
      </c>
    </row>
    <row r="16" spans="1:4" x14ac:dyDescent="0.2">
      <c r="A16" s="6">
        <v>15</v>
      </c>
      <c r="B16" s="6">
        <v>0</v>
      </c>
      <c r="C16" s="6">
        <v>0</v>
      </c>
      <c r="D16" s="6">
        <v>0</v>
      </c>
    </row>
    <row r="17" spans="1:4" x14ac:dyDescent="0.2">
      <c r="A17" s="6">
        <v>16</v>
      </c>
      <c r="B17" s="6">
        <v>0</v>
      </c>
      <c r="C17" s="6">
        <v>0</v>
      </c>
      <c r="D17" s="6">
        <v>0</v>
      </c>
    </row>
    <row r="20" spans="1:4" x14ac:dyDescent="0.2">
      <c r="A20" s="1" t="s">
        <v>114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0"/>
  <sheetViews>
    <sheetView showGridLines="0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11" width="10" customWidth="1"/>
  </cols>
  <sheetData>
    <row r="1" spans="1:11" ht="22" customHeight="1" x14ac:dyDescent="0.2">
      <c r="A1" s="4" t="s">
        <v>5</v>
      </c>
      <c r="B1" s="4" t="s">
        <v>6</v>
      </c>
      <c r="C1" s="4" t="s">
        <v>115</v>
      </c>
      <c r="D1" s="4" t="s">
        <v>116</v>
      </c>
      <c r="E1" s="4" t="s">
        <v>56</v>
      </c>
      <c r="F1" s="4" t="s">
        <v>117</v>
      </c>
      <c r="G1" s="4" t="s">
        <v>118</v>
      </c>
      <c r="H1" s="4" t="s">
        <v>58</v>
      </c>
      <c r="I1" s="4" t="s">
        <v>119</v>
      </c>
      <c r="J1" s="4" t="s">
        <v>120</v>
      </c>
      <c r="K1" s="4" t="s">
        <v>60</v>
      </c>
    </row>
    <row r="2" spans="1:11" x14ac:dyDescent="0.2">
      <c r="A2" s="5" t="s">
        <v>29</v>
      </c>
      <c r="B2" s="5" t="s">
        <v>30</v>
      </c>
      <c r="C2" s="6">
        <v>78</v>
      </c>
      <c r="D2" s="6">
        <v>11</v>
      </c>
      <c r="E2" s="6">
        <v>20</v>
      </c>
      <c r="F2" s="6"/>
      <c r="G2" s="6"/>
      <c r="H2" s="6"/>
      <c r="I2" s="6"/>
      <c r="J2" s="6"/>
      <c r="K2" s="6"/>
    </row>
    <row r="3" spans="1:11" x14ac:dyDescent="0.2">
      <c r="A3" s="5" t="s">
        <v>31</v>
      </c>
      <c r="B3" s="5" t="s">
        <v>30</v>
      </c>
      <c r="C3" s="6">
        <v>75</v>
      </c>
      <c r="D3" s="6">
        <v>9</v>
      </c>
      <c r="E3" s="6">
        <v>72.5</v>
      </c>
      <c r="F3" s="6">
        <v>85</v>
      </c>
      <c r="G3" s="6">
        <v>11</v>
      </c>
      <c r="H3" s="6">
        <v>20</v>
      </c>
      <c r="I3" s="6">
        <v>76</v>
      </c>
      <c r="J3" s="6">
        <v>2</v>
      </c>
      <c r="K3" s="6">
        <v>300</v>
      </c>
    </row>
    <row r="4" spans="1:11" x14ac:dyDescent="0.2">
      <c r="A4" s="5" t="s">
        <v>32</v>
      </c>
      <c r="B4" s="5" t="s">
        <v>30</v>
      </c>
      <c r="C4" s="6">
        <v>72</v>
      </c>
      <c r="D4" s="6">
        <v>6</v>
      </c>
      <c r="E4" s="6">
        <v>95</v>
      </c>
      <c r="F4" s="6"/>
      <c r="G4" s="6"/>
      <c r="H4" s="6"/>
      <c r="I4" s="6"/>
      <c r="J4" s="6"/>
      <c r="K4" s="6"/>
    </row>
    <row r="5" spans="1:11" x14ac:dyDescent="0.2">
      <c r="A5" s="5" t="s">
        <v>33</v>
      </c>
      <c r="B5" s="5" t="s">
        <v>30</v>
      </c>
      <c r="C5" s="6">
        <v>79</v>
      </c>
      <c r="D5" s="6">
        <v>13</v>
      </c>
      <c r="E5" s="6">
        <v>20</v>
      </c>
      <c r="F5" s="6"/>
      <c r="G5" s="6"/>
      <c r="H5" s="6"/>
      <c r="I5" s="6">
        <v>78</v>
      </c>
      <c r="J5" s="6">
        <v>4</v>
      </c>
      <c r="K5" s="6">
        <v>123.33</v>
      </c>
    </row>
    <row r="6" spans="1:11" x14ac:dyDescent="0.2">
      <c r="A6" s="5" t="s">
        <v>34</v>
      </c>
      <c r="B6" s="5" t="s">
        <v>30</v>
      </c>
      <c r="C6" s="6">
        <v>82</v>
      </c>
      <c r="D6" s="6">
        <v>14</v>
      </c>
      <c r="E6" s="6">
        <v>20</v>
      </c>
      <c r="F6" s="6">
        <v>77</v>
      </c>
      <c r="G6" s="6">
        <v>10</v>
      </c>
      <c r="H6" s="6">
        <v>70</v>
      </c>
      <c r="I6" s="6">
        <v>77</v>
      </c>
      <c r="J6" s="6">
        <v>3</v>
      </c>
      <c r="K6" s="6">
        <v>200</v>
      </c>
    </row>
    <row r="7" spans="1:11" x14ac:dyDescent="0.2">
      <c r="A7" s="5" t="s">
        <v>35</v>
      </c>
      <c r="B7" s="5" t="s">
        <v>30</v>
      </c>
      <c r="C7" s="6">
        <v>92</v>
      </c>
      <c r="D7" s="6">
        <v>15</v>
      </c>
      <c r="E7" s="6">
        <v>0</v>
      </c>
      <c r="F7" s="6">
        <v>73</v>
      </c>
      <c r="G7" s="6">
        <v>4</v>
      </c>
      <c r="H7" s="6">
        <v>123.33</v>
      </c>
      <c r="I7" s="6">
        <v>78</v>
      </c>
      <c r="J7" s="6">
        <v>4</v>
      </c>
      <c r="K7" s="6">
        <v>123.33</v>
      </c>
    </row>
    <row r="8" spans="1:11" x14ac:dyDescent="0.2">
      <c r="A8" s="5" t="s">
        <v>36</v>
      </c>
      <c r="B8" s="5" t="s">
        <v>30</v>
      </c>
      <c r="C8" s="6">
        <v>67</v>
      </c>
      <c r="D8" s="6">
        <v>1</v>
      </c>
      <c r="E8" s="6">
        <v>400</v>
      </c>
      <c r="F8" s="6">
        <v>75</v>
      </c>
      <c r="G8" s="6">
        <v>8</v>
      </c>
      <c r="H8" s="6">
        <v>80</v>
      </c>
      <c r="I8" s="6">
        <v>80</v>
      </c>
      <c r="J8" s="6">
        <v>8</v>
      </c>
      <c r="K8" s="6">
        <v>80</v>
      </c>
    </row>
    <row r="9" spans="1:11" x14ac:dyDescent="0.2">
      <c r="A9" s="5" t="s">
        <v>37</v>
      </c>
      <c r="B9" s="5" t="s">
        <v>30</v>
      </c>
      <c r="C9" s="6">
        <v>71</v>
      </c>
      <c r="D9" s="6">
        <v>5</v>
      </c>
      <c r="E9" s="6">
        <v>120</v>
      </c>
      <c r="F9" s="6">
        <v>73</v>
      </c>
      <c r="G9" s="6">
        <v>4</v>
      </c>
      <c r="H9" s="6">
        <v>123.33</v>
      </c>
      <c r="I9" s="6">
        <v>84</v>
      </c>
      <c r="J9" s="6">
        <v>10</v>
      </c>
      <c r="K9" s="6">
        <v>36.67</v>
      </c>
    </row>
    <row r="10" spans="1:11" x14ac:dyDescent="0.2">
      <c r="A10" s="5" t="s">
        <v>38</v>
      </c>
      <c r="B10" s="5" t="s">
        <v>39</v>
      </c>
      <c r="C10" s="6">
        <v>72</v>
      </c>
      <c r="D10" s="6">
        <v>6</v>
      </c>
      <c r="E10" s="6">
        <v>95</v>
      </c>
      <c r="F10" s="6">
        <v>66</v>
      </c>
      <c r="G10" s="6">
        <v>1</v>
      </c>
      <c r="H10" s="6">
        <v>500</v>
      </c>
      <c r="I10" s="6">
        <v>85</v>
      </c>
      <c r="J10" s="6">
        <v>13</v>
      </c>
      <c r="K10" s="6">
        <v>20</v>
      </c>
    </row>
    <row r="11" spans="1:11" x14ac:dyDescent="0.2">
      <c r="A11" s="5" t="s">
        <v>40</v>
      </c>
      <c r="B11" s="5" t="s">
        <v>39</v>
      </c>
      <c r="C11" s="6">
        <v>73</v>
      </c>
      <c r="D11" s="6">
        <v>8</v>
      </c>
      <c r="E11" s="6">
        <v>80</v>
      </c>
      <c r="F11" s="6">
        <v>70</v>
      </c>
      <c r="G11" s="6">
        <v>2</v>
      </c>
      <c r="H11" s="6">
        <v>250</v>
      </c>
      <c r="I11" s="6">
        <v>79</v>
      </c>
      <c r="J11" s="6">
        <v>7</v>
      </c>
      <c r="K11" s="6">
        <v>90</v>
      </c>
    </row>
    <row r="12" spans="1:11" x14ac:dyDescent="0.2">
      <c r="A12" s="5" t="s">
        <v>41</v>
      </c>
      <c r="B12" s="5" t="s">
        <v>39</v>
      </c>
      <c r="C12" s="6">
        <v>78</v>
      </c>
      <c r="D12" s="6">
        <v>11</v>
      </c>
      <c r="E12" s="6">
        <v>20</v>
      </c>
      <c r="F12" s="6">
        <v>73</v>
      </c>
      <c r="G12" s="6">
        <v>4</v>
      </c>
      <c r="H12" s="6">
        <v>123.33</v>
      </c>
      <c r="I12" s="6">
        <v>82</v>
      </c>
      <c r="J12" s="6">
        <v>9</v>
      </c>
      <c r="K12" s="6">
        <v>75</v>
      </c>
    </row>
    <row r="13" spans="1:11" x14ac:dyDescent="0.2">
      <c r="A13" s="5" t="s">
        <v>42</v>
      </c>
      <c r="B13" s="5" t="s">
        <v>39</v>
      </c>
      <c r="C13" s="6">
        <v>67</v>
      </c>
      <c r="D13" s="6">
        <v>1</v>
      </c>
      <c r="E13" s="6">
        <v>400</v>
      </c>
      <c r="F13" s="6">
        <v>85</v>
      </c>
      <c r="G13" s="6">
        <v>11</v>
      </c>
      <c r="H13" s="6">
        <v>20</v>
      </c>
      <c r="I13" s="6">
        <v>78</v>
      </c>
      <c r="J13" s="6">
        <v>4</v>
      </c>
      <c r="K13" s="6">
        <v>123.33</v>
      </c>
    </row>
    <row r="14" spans="1:11" x14ac:dyDescent="0.2">
      <c r="A14" s="5" t="s">
        <v>43</v>
      </c>
      <c r="B14" s="5" t="s">
        <v>39</v>
      </c>
      <c r="C14" s="6">
        <v>69</v>
      </c>
      <c r="D14" s="6">
        <v>3</v>
      </c>
      <c r="E14" s="6">
        <v>175</v>
      </c>
      <c r="F14" s="6">
        <v>74</v>
      </c>
      <c r="G14" s="6">
        <v>7</v>
      </c>
      <c r="H14" s="6">
        <v>90</v>
      </c>
      <c r="I14" s="6">
        <v>85</v>
      </c>
      <c r="J14" s="6">
        <v>13</v>
      </c>
      <c r="K14" s="6">
        <v>20</v>
      </c>
    </row>
    <row r="15" spans="1:11" x14ac:dyDescent="0.2">
      <c r="A15" s="5" t="s">
        <v>44</v>
      </c>
      <c r="B15" s="5" t="s">
        <v>39</v>
      </c>
      <c r="C15" s="6">
        <v>69</v>
      </c>
      <c r="D15" s="6">
        <v>3</v>
      </c>
      <c r="E15" s="6">
        <v>175</v>
      </c>
      <c r="F15" s="6">
        <v>76</v>
      </c>
      <c r="G15" s="6">
        <v>9</v>
      </c>
      <c r="H15" s="6">
        <v>75</v>
      </c>
      <c r="I15" s="6">
        <v>84</v>
      </c>
      <c r="J15" s="6">
        <v>10</v>
      </c>
      <c r="K15" s="6">
        <v>36.67</v>
      </c>
    </row>
    <row r="16" spans="1:11" x14ac:dyDescent="0.2">
      <c r="A16" s="5" t="s">
        <v>45</v>
      </c>
      <c r="B16" s="5" t="s">
        <v>39</v>
      </c>
      <c r="C16" s="6">
        <v>75</v>
      </c>
      <c r="D16" s="6">
        <v>9</v>
      </c>
      <c r="E16" s="6">
        <v>72.5</v>
      </c>
      <c r="F16" s="6"/>
      <c r="G16" s="6"/>
      <c r="H16" s="6"/>
      <c r="I16" s="6"/>
      <c r="J16" s="6"/>
      <c r="K16" s="6"/>
    </row>
    <row r="17" spans="1:11" x14ac:dyDescent="0.2">
      <c r="A17" s="5" t="s">
        <v>48</v>
      </c>
      <c r="B17" s="5" t="s">
        <v>39</v>
      </c>
      <c r="C17" s="6"/>
      <c r="D17" s="6"/>
      <c r="E17" s="6"/>
      <c r="F17" s="6">
        <v>70</v>
      </c>
      <c r="G17" s="6">
        <v>2</v>
      </c>
      <c r="H17" s="6">
        <v>250</v>
      </c>
      <c r="I17" s="6">
        <v>69</v>
      </c>
      <c r="J17" s="6">
        <v>1</v>
      </c>
      <c r="K17" s="6">
        <v>500</v>
      </c>
    </row>
    <row r="18" spans="1:11" x14ac:dyDescent="0.2">
      <c r="A18" s="7" t="s">
        <v>49</v>
      </c>
      <c r="B18" s="7" t="s">
        <v>51</v>
      </c>
      <c r="C18" s="8">
        <v>97</v>
      </c>
      <c r="D18" s="8">
        <v>16</v>
      </c>
      <c r="E18" s="8">
        <v>0</v>
      </c>
      <c r="F18" s="8">
        <v>89</v>
      </c>
      <c r="G18" s="8">
        <v>13</v>
      </c>
      <c r="H18" s="8">
        <v>20</v>
      </c>
      <c r="I18" s="8">
        <v>101</v>
      </c>
      <c r="J18" s="8">
        <v>15</v>
      </c>
      <c r="K18" s="8">
        <v>0</v>
      </c>
    </row>
    <row r="19" spans="1:11" x14ac:dyDescent="0.2">
      <c r="A19" s="7" t="s">
        <v>54</v>
      </c>
      <c r="B19" s="7" t="s">
        <v>39</v>
      </c>
      <c r="C19" s="8"/>
      <c r="D19" s="8"/>
      <c r="E19" s="8"/>
      <c r="F19" s="8"/>
      <c r="G19" s="8"/>
      <c r="H19" s="8"/>
      <c r="I19" s="8">
        <v>84</v>
      </c>
      <c r="J19" s="8">
        <v>10</v>
      </c>
      <c r="K19" s="8">
        <v>36.67</v>
      </c>
    </row>
    <row r="20" spans="1:11" x14ac:dyDescent="0.2">
      <c r="A20" s="7" t="s">
        <v>50</v>
      </c>
      <c r="B20" s="7" t="s">
        <v>51</v>
      </c>
      <c r="C20" s="8"/>
      <c r="D20" s="8"/>
      <c r="E20" s="8"/>
      <c r="F20" s="8"/>
      <c r="G20" s="8"/>
      <c r="H20" s="8"/>
      <c r="I20" s="8"/>
      <c r="J20" s="8"/>
      <c r="K20" s="8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showGridLines="0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6" width="11" customWidth="1"/>
  </cols>
  <sheetData>
    <row r="1" spans="1:6" ht="22" customHeight="1" x14ac:dyDescent="0.2">
      <c r="A1" s="4" t="s">
        <v>5</v>
      </c>
      <c r="B1" s="4" t="s">
        <v>6</v>
      </c>
      <c r="C1" s="4" t="s">
        <v>56</v>
      </c>
      <c r="D1" s="4" t="s">
        <v>58</v>
      </c>
      <c r="E1" s="4" t="s">
        <v>60</v>
      </c>
      <c r="F1" s="4" t="s">
        <v>121</v>
      </c>
    </row>
    <row r="2" spans="1:6" x14ac:dyDescent="0.2">
      <c r="A2" s="5" t="s">
        <v>48</v>
      </c>
      <c r="B2" s="5" t="s">
        <v>39</v>
      </c>
      <c r="C2" s="6">
        <f>IFERROR(VLOOKUP(A2, Medal_Fechas!$A:$K, 5, FALSE), 0)</f>
        <v>0</v>
      </c>
      <c r="D2" s="6">
        <f>IFERROR(VLOOKUP(A2, Medal_Fechas!$A:$K, 8, FALSE), 0)</f>
        <v>250</v>
      </c>
      <c r="E2" s="6">
        <f>IFERROR(VLOOKUP(A2, Medal_Fechas!$A:$K, 11, FALSE), 0)</f>
        <v>500</v>
      </c>
      <c r="F2" s="6">
        <f t="shared" ref="F2:F18" si="0">SUM(C2:E2)</f>
        <v>750</v>
      </c>
    </row>
    <row r="3" spans="1:6" x14ac:dyDescent="0.2">
      <c r="A3" s="5" t="s">
        <v>38</v>
      </c>
      <c r="B3" s="5" t="s">
        <v>39</v>
      </c>
      <c r="C3" s="6">
        <f>IFERROR(VLOOKUP(A3, Medal_Fechas!$A:$K, 5, FALSE), 0)</f>
        <v>95</v>
      </c>
      <c r="D3" s="6">
        <f>IFERROR(VLOOKUP(A3, Medal_Fechas!$A:$K, 8, FALSE), 0)</f>
        <v>500</v>
      </c>
      <c r="E3" s="6">
        <f>IFERROR(VLOOKUP(A3, Medal_Fechas!$A:$K, 11, FALSE), 0)</f>
        <v>20</v>
      </c>
      <c r="F3" s="6">
        <f t="shared" si="0"/>
        <v>615</v>
      </c>
    </row>
    <row r="4" spans="1:6" x14ac:dyDescent="0.2">
      <c r="A4" s="5" t="s">
        <v>36</v>
      </c>
      <c r="B4" s="5" t="s">
        <v>30</v>
      </c>
      <c r="C4" s="6">
        <f>IFERROR(VLOOKUP(A4, Medal_Fechas!$A:$K, 5, FALSE), 0)</f>
        <v>400</v>
      </c>
      <c r="D4" s="6">
        <f>IFERROR(VLOOKUP(A4, Medal_Fechas!$A:$K, 8, FALSE), 0)</f>
        <v>80</v>
      </c>
      <c r="E4" s="6">
        <f>IFERROR(VLOOKUP(A4, Medal_Fechas!$A:$K, 11, FALSE), 0)</f>
        <v>80</v>
      </c>
      <c r="F4" s="6">
        <f t="shared" si="0"/>
        <v>560</v>
      </c>
    </row>
    <row r="5" spans="1:6" x14ac:dyDescent="0.2">
      <c r="A5" s="5" t="s">
        <v>42</v>
      </c>
      <c r="B5" s="5" t="s">
        <v>39</v>
      </c>
      <c r="C5" s="6">
        <f>IFERROR(VLOOKUP(A5, Medal_Fechas!$A:$K, 5, FALSE), 0)</f>
        <v>400</v>
      </c>
      <c r="D5" s="6">
        <f>IFERROR(VLOOKUP(A5, Medal_Fechas!$A:$K, 8, FALSE), 0)</f>
        <v>20</v>
      </c>
      <c r="E5" s="6">
        <f>IFERROR(VLOOKUP(A5, Medal_Fechas!$A:$K, 11, FALSE), 0)</f>
        <v>123.33</v>
      </c>
      <c r="F5" s="6">
        <f t="shared" si="0"/>
        <v>543.33000000000004</v>
      </c>
    </row>
    <row r="6" spans="1:6" x14ac:dyDescent="0.2">
      <c r="A6" s="5" t="s">
        <v>40</v>
      </c>
      <c r="B6" s="5" t="s">
        <v>39</v>
      </c>
      <c r="C6" s="6">
        <f>IFERROR(VLOOKUP(A6, Medal_Fechas!$A:$K, 5, FALSE), 0)</f>
        <v>80</v>
      </c>
      <c r="D6" s="6">
        <f>IFERROR(VLOOKUP(A6, Medal_Fechas!$A:$K, 8, FALSE), 0)</f>
        <v>250</v>
      </c>
      <c r="E6" s="6">
        <f>IFERROR(VLOOKUP(A6, Medal_Fechas!$A:$K, 11, FALSE), 0)</f>
        <v>90</v>
      </c>
      <c r="F6" s="6">
        <f t="shared" si="0"/>
        <v>420</v>
      </c>
    </row>
    <row r="7" spans="1:6" x14ac:dyDescent="0.2">
      <c r="A7" s="5" t="s">
        <v>31</v>
      </c>
      <c r="B7" s="5" t="s">
        <v>30</v>
      </c>
      <c r="C7" s="6">
        <f>IFERROR(VLOOKUP(A7, Medal_Fechas!$A:$K, 5, FALSE), 0)</f>
        <v>72.5</v>
      </c>
      <c r="D7" s="6">
        <f>IFERROR(VLOOKUP(A7, Medal_Fechas!$A:$K, 8, FALSE), 0)</f>
        <v>20</v>
      </c>
      <c r="E7" s="6">
        <f>IFERROR(VLOOKUP(A7, Medal_Fechas!$A:$K, 11, FALSE), 0)</f>
        <v>300</v>
      </c>
      <c r="F7" s="6">
        <f t="shared" si="0"/>
        <v>392.5</v>
      </c>
    </row>
    <row r="8" spans="1:6" x14ac:dyDescent="0.2">
      <c r="A8" s="5" t="s">
        <v>34</v>
      </c>
      <c r="B8" s="5" t="s">
        <v>30</v>
      </c>
      <c r="C8" s="6">
        <f>IFERROR(VLOOKUP(A8, Medal_Fechas!$A:$K, 5, FALSE), 0)</f>
        <v>20</v>
      </c>
      <c r="D8" s="6">
        <f>IFERROR(VLOOKUP(A8, Medal_Fechas!$A:$K, 8, FALSE), 0)</f>
        <v>70</v>
      </c>
      <c r="E8" s="6">
        <f>IFERROR(VLOOKUP(A8, Medal_Fechas!$A:$K, 11, FALSE), 0)</f>
        <v>200</v>
      </c>
      <c r="F8" s="6">
        <f t="shared" si="0"/>
        <v>290</v>
      </c>
    </row>
    <row r="9" spans="1:6" x14ac:dyDescent="0.2">
      <c r="A9" s="5" t="s">
        <v>44</v>
      </c>
      <c r="B9" s="5" t="s">
        <v>39</v>
      </c>
      <c r="C9" s="6">
        <f>IFERROR(VLOOKUP(A9, Medal_Fechas!$A:$K, 5, FALSE), 0)</f>
        <v>175</v>
      </c>
      <c r="D9" s="6">
        <f>IFERROR(VLOOKUP(A9, Medal_Fechas!$A:$K, 8, FALSE), 0)</f>
        <v>75</v>
      </c>
      <c r="E9" s="6">
        <f>IFERROR(VLOOKUP(A9, Medal_Fechas!$A:$K, 11, FALSE), 0)</f>
        <v>36.67</v>
      </c>
      <c r="F9" s="6">
        <f t="shared" si="0"/>
        <v>286.67</v>
      </c>
    </row>
    <row r="10" spans="1:6" x14ac:dyDescent="0.2">
      <c r="A10" s="5" t="s">
        <v>43</v>
      </c>
      <c r="B10" s="5" t="s">
        <v>39</v>
      </c>
      <c r="C10" s="6">
        <f>IFERROR(VLOOKUP(A10, Medal_Fechas!$A:$K, 5, FALSE), 0)</f>
        <v>175</v>
      </c>
      <c r="D10" s="6">
        <f>IFERROR(VLOOKUP(A10, Medal_Fechas!$A:$K, 8, FALSE), 0)</f>
        <v>90</v>
      </c>
      <c r="E10" s="6">
        <f>IFERROR(VLOOKUP(A10, Medal_Fechas!$A:$K, 11, FALSE), 0)</f>
        <v>20</v>
      </c>
      <c r="F10" s="6">
        <f t="shared" si="0"/>
        <v>285</v>
      </c>
    </row>
    <row r="11" spans="1:6" x14ac:dyDescent="0.2">
      <c r="A11" s="5" t="s">
        <v>37</v>
      </c>
      <c r="B11" s="5" t="s">
        <v>30</v>
      </c>
      <c r="C11" s="6">
        <f>IFERROR(VLOOKUP(A11, Medal_Fechas!$A:$K, 5, FALSE), 0)</f>
        <v>120</v>
      </c>
      <c r="D11" s="6">
        <f>IFERROR(VLOOKUP(A11, Medal_Fechas!$A:$K, 8, FALSE), 0)</f>
        <v>123.33</v>
      </c>
      <c r="E11" s="6">
        <f>IFERROR(VLOOKUP(A11, Medal_Fechas!$A:$K, 11, FALSE), 0)</f>
        <v>36.67</v>
      </c>
      <c r="F11" s="6">
        <f t="shared" si="0"/>
        <v>280</v>
      </c>
    </row>
    <row r="12" spans="1:6" x14ac:dyDescent="0.2">
      <c r="A12" s="5" t="s">
        <v>35</v>
      </c>
      <c r="B12" s="5" t="s">
        <v>30</v>
      </c>
      <c r="C12" s="6">
        <f>IFERROR(VLOOKUP(A12, Medal_Fechas!$A:$K, 5, FALSE), 0)</f>
        <v>0</v>
      </c>
      <c r="D12" s="6">
        <f>IFERROR(VLOOKUP(A12, Medal_Fechas!$A:$K, 8, FALSE), 0)</f>
        <v>123.33</v>
      </c>
      <c r="E12" s="6">
        <f>IFERROR(VLOOKUP(A12, Medal_Fechas!$A:$K, 11, FALSE), 0)</f>
        <v>123.33</v>
      </c>
      <c r="F12" s="6">
        <f t="shared" si="0"/>
        <v>246.66</v>
      </c>
    </row>
    <row r="13" spans="1:6" x14ac:dyDescent="0.2">
      <c r="A13" s="5" t="s">
        <v>41</v>
      </c>
      <c r="B13" s="5" t="s">
        <v>39</v>
      </c>
      <c r="C13" s="6">
        <f>IFERROR(VLOOKUP(A13, Medal_Fechas!$A:$K, 5, FALSE), 0)</f>
        <v>20</v>
      </c>
      <c r="D13" s="6">
        <f>IFERROR(VLOOKUP(A13, Medal_Fechas!$A:$K, 8, FALSE), 0)</f>
        <v>123.33</v>
      </c>
      <c r="E13" s="6">
        <f>IFERROR(VLOOKUP(A13, Medal_Fechas!$A:$K, 11, FALSE), 0)</f>
        <v>75</v>
      </c>
      <c r="F13" s="6">
        <f t="shared" si="0"/>
        <v>218.32999999999998</v>
      </c>
    </row>
    <row r="14" spans="1:6" x14ac:dyDescent="0.2">
      <c r="A14" s="5" t="s">
        <v>33</v>
      </c>
      <c r="B14" s="5" t="s">
        <v>30</v>
      </c>
      <c r="C14" s="6">
        <f>IFERROR(VLOOKUP(A14, Medal_Fechas!$A:$K, 5, FALSE), 0)</f>
        <v>20</v>
      </c>
      <c r="D14" s="6">
        <f>IFERROR(VLOOKUP(A14, Medal_Fechas!$A:$K, 8, FALSE), 0)</f>
        <v>0</v>
      </c>
      <c r="E14" s="6">
        <f>IFERROR(VLOOKUP(A14, Medal_Fechas!$A:$K, 11, FALSE), 0)</f>
        <v>123.33</v>
      </c>
      <c r="F14" s="6">
        <f t="shared" si="0"/>
        <v>143.32999999999998</v>
      </c>
    </row>
    <row r="15" spans="1:6" x14ac:dyDescent="0.2">
      <c r="A15" s="5" t="s">
        <v>32</v>
      </c>
      <c r="B15" s="5" t="s">
        <v>30</v>
      </c>
      <c r="C15" s="6">
        <f>IFERROR(VLOOKUP(A15, Medal_Fechas!$A:$K, 5, FALSE), 0)</f>
        <v>95</v>
      </c>
      <c r="D15" s="6">
        <f>IFERROR(VLOOKUP(A15, Medal_Fechas!$A:$K, 8, FALSE), 0)</f>
        <v>0</v>
      </c>
      <c r="E15" s="6">
        <f>IFERROR(VLOOKUP(A15, Medal_Fechas!$A:$K, 11, FALSE), 0)</f>
        <v>0</v>
      </c>
      <c r="F15" s="6">
        <f t="shared" si="0"/>
        <v>95</v>
      </c>
    </row>
    <row r="16" spans="1:6" x14ac:dyDescent="0.2">
      <c r="A16" s="5" t="s">
        <v>45</v>
      </c>
      <c r="B16" s="5" t="s">
        <v>39</v>
      </c>
      <c r="C16" s="6">
        <f>IFERROR(VLOOKUP(A16, Medal_Fechas!$A:$K, 5, FALSE), 0)</f>
        <v>72.5</v>
      </c>
      <c r="D16" s="6">
        <f>IFERROR(VLOOKUP(A16, Medal_Fechas!$A:$K, 8, FALSE), 0)</f>
        <v>0</v>
      </c>
      <c r="E16" s="6">
        <f>IFERROR(VLOOKUP(A16, Medal_Fechas!$A:$K, 11, FALSE), 0)</f>
        <v>0</v>
      </c>
      <c r="F16" s="6">
        <f t="shared" si="0"/>
        <v>72.5</v>
      </c>
    </row>
    <row r="17" spans="1:6" x14ac:dyDescent="0.2">
      <c r="A17" s="5" t="s">
        <v>29</v>
      </c>
      <c r="B17" s="5" t="s">
        <v>30</v>
      </c>
      <c r="C17" s="6">
        <f>IFERROR(VLOOKUP(A17, Medal_Fechas!$A:$K, 5, FALSE), 0)</f>
        <v>20</v>
      </c>
      <c r="D17" s="6">
        <f>IFERROR(VLOOKUP(A17, Medal_Fechas!$A:$K, 8, FALSE), 0)</f>
        <v>0</v>
      </c>
      <c r="E17" s="6">
        <f>IFERROR(VLOOKUP(A17, Medal_Fechas!$A:$K, 11, FALSE), 0)</f>
        <v>0</v>
      </c>
      <c r="F17" s="6">
        <f t="shared" si="0"/>
        <v>20</v>
      </c>
    </row>
    <row r="18" spans="1:6" x14ac:dyDescent="0.2">
      <c r="A18" s="7" t="s">
        <v>49</v>
      </c>
      <c r="B18" s="7" t="s">
        <v>51</v>
      </c>
      <c r="C18" s="8">
        <f>IFERROR(VLOOKUP(A18, Medal_Fechas!$A:$K, 5, FALSE), 0)</f>
        <v>0</v>
      </c>
      <c r="D18" s="8">
        <f>IFERROR(VLOOKUP(A18, Medal_Fechas!$A:$K, 8, FALSE), 0)</f>
        <v>20</v>
      </c>
      <c r="E18" s="8">
        <f>IFERROR(VLOOKUP(A18, Medal_Fechas!$A:$K, 11, FALSE), 0)</f>
        <v>0</v>
      </c>
      <c r="F18" s="8">
        <f t="shared" si="0"/>
        <v>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1"/>
  <sheetViews>
    <sheetView showGridLines="0" workbookViewId="0"/>
  </sheetViews>
  <sheetFormatPr baseColWidth="10" defaultColWidth="8.83203125" defaultRowHeight="15" x14ac:dyDescent="0.2"/>
  <cols>
    <col min="1" max="1" width="6" customWidth="1"/>
    <col min="2" max="2" width="14" customWidth="1"/>
    <col min="3" max="4" width="18" customWidth="1"/>
    <col min="5" max="5" width="12" customWidth="1"/>
    <col min="6" max="6" width="26" customWidth="1"/>
    <col min="7" max="7" width="12" customWidth="1"/>
  </cols>
  <sheetData>
    <row r="1" spans="1:7" ht="22" customHeight="1" x14ac:dyDescent="0.2">
      <c r="A1" s="4" t="s">
        <v>122</v>
      </c>
      <c r="B1" s="4" t="s">
        <v>123</v>
      </c>
      <c r="C1" s="4" t="s">
        <v>124</v>
      </c>
      <c r="D1" s="4" t="s">
        <v>125</v>
      </c>
      <c r="E1" s="4" t="s">
        <v>126</v>
      </c>
      <c r="F1" s="4" t="s">
        <v>127</v>
      </c>
      <c r="G1" s="4" t="s">
        <v>128</v>
      </c>
    </row>
    <row r="2" spans="1:7" x14ac:dyDescent="0.2">
      <c r="A2" s="6">
        <v>1</v>
      </c>
      <c r="B2" s="5" t="s">
        <v>129</v>
      </c>
      <c r="C2" s="5" t="s">
        <v>130</v>
      </c>
      <c r="D2" s="5" t="s">
        <v>131</v>
      </c>
      <c r="E2" s="5" t="s">
        <v>28</v>
      </c>
      <c r="F2" s="5" t="s">
        <v>132</v>
      </c>
      <c r="G2" s="10" t="s">
        <v>133</v>
      </c>
    </row>
    <row r="3" spans="1:7" x14ac:dyDescent="0.2">
      <c r="A3" s="6">
        <v>2</v>
      </c>
      <c r="B3" s="5" t="s">
        <v>134</v>
      </c>
      <c r="C3" s="5" t="s">
        <v>130</v>
      </c>
      <c r="D3" s="5" t="s">
        <v>131</v>
      </c>
      <c r="E3" s="5" t="s">
        <v>28</v>
      </c>
      <c r="F3" s="5" t="s">
        <v>51</v>
      </c>
      <c r="G3" s="10" t="s">
        <v>133</v>
      </c>
    </row>
    <row r="4" spans="1:7" x14ac:dyDescent="0.2">
      <c r="A4" s="6">
        <v>3</v>
      </c>
      <c r="B4" s="5" t="s">
        <v>135</v>
      </c>
      <c r="C4" s="5" t="s">
        <v>136</v>
      </c>
      <c r="D4" s="5" t="s">
        <v>137</v>
      </c>
      <c r="E4" s="5" t="s">
        <v>28</v>
      </c>
      <c r="F4" s="5" t="s">
        <v>138</v>
      </c>
      <c r="G4" s="10" t="s">
        <v>133</v>
      </c>
    </row>
    <row r="5" spans="1:7" x14ac:dyDescent="0.2">
      <c r="A5" s="6">
        <v>4</v>
      </c>
      <c r="B5" s="5" t="s">
        <v>139</v>
      </c>
      <c r="C5" s="5" t="s">
        <v>130</v>
      </c>
      <c r="D5" s="5" t="s">
        <v>131</v>
      </c>
      <c r="E5" s="5" t="s">
        <v>28</v>
      </c>
      <c r="F5" s="5" t="s">
        <v>140</v>
      </c>
      <c r="G5" s="8" t="s">
        <v>141</v>
      </c>
    </row>
    <row r="6" spans="1:7" x14ac:dyDescent="0.2">
      <c r="A6" s="6">
        <v>5</v>
      </c>
      <c r="B6" s="5" t="s">
        <v>142</v>
      </c>
      <c r="C6" s="5" t="s">
        <v>130</v>
      </c>
      <c r="D6" s="5" t="s">
        <v>137</v>
      </c>
      <c r="E6" s="5" t="s">
        <v>28</v>
      </c>
      <c r="F6" s="5" t="s">
        <v>143</v>
      </c>
      <c r="G6" s="8" t="s">
        <v>141</v>
      </c>
    </row>
    <row r="7" spans="1:7" x14ac:dyDescent="0.2">
      <c r="A7" s="6">
        <v>6</v>
      </c>
      <c r="B7" s="5" t="s">
        <v>144</v>
      </c>
      <c r="C7" s="5" t="s">
        <v>130</v>
      </c>
      <c r="D7" s="5" t="s">
        <v>131</v>
      </c>
      <c r="E7" s="5" t="s">
        <v>28</v>
      </c>
      <c r="F7" s="5" t="s">
        <v>145</v>
      </c>
      <c r="G7" s="8" t="s">
        <v>141</v>
      </c>
    </row>
    <row r="8" spans="1:7" x14ac:dyDescent="0.2">
      <c r="A8" s="6">
        <v>7</v>
      </c>
      <c r="B8" s="5" t="s">
        <v>146</v>
      </c>
      <c r="C8" s="5" t="s">
        <v>130</v>
      </c>
      <c r="D8" s="5" t="s">
        <v>137</v>
      </c>
      <c r="E8" s="5" t="s">
        <v>28</v>
      </c>
      <c r="F8" s="5" t="s">
        <v>147</v>
      </c>
      <c r="G8" s="8" t="s">
        <v>141</v>
      </c>
    </row>
    <row r="9" spans="1:7" x14ac:dyDescent="0.2">
      <c r="A9" s="6">
        <v>8</v>
      </c>
      <c r="B9" s="5" t="s">
        <v>148</v>
      </c>
      <c r="C9" s="5" t="s">
        <v>130</v>
      </c>
      <c r="D9" s="5" t="s">
        <v>131</v>
      </c>
      <c r="E9" s="5" t="s">
        <v>28</v>
      </c>
      <c r="F9" s="5" t="s">
        <v>149</v>
      </c>
      <c r="G9" s="8" t="s">
        <v>141</v>
      </c>
    </row>
    <row r="10" spans="1:7" x14ac:dyDescent="0.2">
      <c r="A10" s="6">
        <v>9</v>
      </c>
      <c r="B10" s="5" t="s">
        <v>150</v>
      </c>
      <c r="C10" s="5" t="s">
        <v>151</v>
      </c>
      <c r="D10" s="5" t="s">
        <v>152</v>
      </c>
      <c r="E10" s="5" t="s">
        <v>153</v>
      </c>
      <c r="F10" s="5" t="s">
        <v>154</v>
      </c>
      <c r="G10" s="8" t="s">
        <v>141</v>
      </c>
    </row>
    <row r="11" spans="1:7" x14ac:dyDescent="0.2">
      <c r="A11" s="6">
        <v>10</v>
      </c>
      <c r="B11" s="5" t="s">
        <v>155</v>
      </c>
      <c r="C11" s="5" t="s">
        <v>156</v>
      </c>
      <c r="D11" s="5" t="s">
        <v>137</v>
      </c>
      <c r="E11" s="5" t="s">
        <v>157</v>
      </c>
      <c r="F11" s="5" t="s">
        <v>158</v>
      </c>
      <c r="G11" s="8" t="s">
        <v>141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39"/>
  <sheetViews>
    <sheetView showGridLines="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4" customWidth="1"/>
    <col min="2" max="41" width="6" customWidth="1"/>
  </cols>
  <sheetData>
    <row r="1" spans="1:41" x14ac:dyDescent="0.2">
      <c r="A1" s="4" t="s">
        <v>5</v>
      </c>
      <c r="B1" s="18" t="s">
        <v>159</v>
      </c>
      <c r="C1" s="19"/>
      <c r="D1" s="19"/>
      <c r="E1" s="20"/>
      <c r="F1" s="18" t="s">
        <v>160</v>
      </c>
      <c r="G1" s="19"/>
      <c r="H1" s="19"/>
      <c r="I1" s="20"/>
      <c r="J1" s="18" t="s">
        <v>161</v>
      </c>
      <c r="K1" s="19"/>
      <c r="L1" s="19"/>
      <c r="M1" s="20"/>
      <c r="N1" s="18" t="s">
        <v>162</v>
      </c>
      <c r="O1" s="19"/>
      <c r="P1" s="19"/>
      <c r="Q1" s="20"/>
      <c r="R1" s="18" t="s">
        <v>163</v>
      </c>
      <c r="S1" s="19"/>
      <c r="T1" s="19"/>
      <c r="U1" s="20"/>
      <c r="V1" s="18" t="s">
        <v>164</v>
      </c>
      <c r="W1" s="19"/>
      <c r="X1" s="19"/>
      <c r="Y1" s="20"/>
      <c r="Z1" s="18" t="s">
        <v>165</v>
      </c>
      <c r="AA1" s="19"/>
      <c r="AB1" s="19"/>
      <c r="AC1" s="20"/>
      <c r="AD1" s="18" t="s">
        <v>166</v>
      </c>
      <c r="AE1" s="19"/>
      <c r="AF1" s="19"/>
      <c r="AG1" s="20"/>
      <c r="AH1" s="18" t="s">
        <v>167</v>
      </c>
      <c r="AI1" s="19"/>
      <c r="AJ1" s="19"/>
      <c r="AK1" s="20"/>
      <c r="AL1" s="18" t="s">
        <v>168</v>
      </c>
      <c r="AM1" s="19"/>
      <c r="AN1" s="19"/>
      <c r="AO1" s="20"/>
    </row>
    <row r="2" spans="1:41" x14ac:dyDescent="0.2">
      <c r="A2" s="11"/>
      <c r="B2" s="12" t="s">
        <v>169</v>
      </c>
      <c r="C2" s="12" t="s">
        <v>170</v>
      </c>
      <c r="D2" s="12" t="s">
        <v>171</v>
      </c>
      <c r="E2" s="12" t="s">
        <v>172</v>
      </c>
      <c r="F2" s="12" t="s">
        <v>169</v>
      </c>
      <c r="G2" s="12" t="s">
        <v>170</v>
      </c>
      <c r="H2" s="12" t="s">
        <v>171</v>
      </c>
      <c r="I2" s="12" t="s">
        <v>172</v>
      </c>
      <c r="J2" s="12" t="s">
        <v>169</v>
      </c>
      <c r="K2" s="12" t="s">
        <v>170</v>
      </c>
      <c r="L2" s="12" t="s">
        <v>171</v>
      </c>
      <c r="M2" s="12" t="s">
        <v>172</v>
      </c>
      <c r="N2" s="12" t="s">
        <v>169</v>
      </c>
      <c r="O2" s="12" t="s">
        <v>170</v>
      </c>
      <c r="P2" s="12" t="s">
        <v>171</v>
      </c>
      <c r="Q2" s="12" t="s">
        <v>172</v>
      </c>
      <c r="R2" s="12" t="s">
        <v>169</v>
      </c>
      <c r="S2" s="12" t="s">
        <v>170</v>
      </c>
      <c r="T2" s="12" t="s">
        <v>171</v>
      </c>
      <c r="U2" s="12" t="s">
        <v>172</v>
      </c>
      <c r="V2" s="12" t="s">
        <v>169</v>
      </c>
      <c r="W2" s="12" t="s">
        <v>170</v>
      </c>
      <c r="X2" s="12" t="s">
        <v>171</v>
      </c>
      <c r="Y2" s="12" t="s">
        <v>172</v>
      </c>
      <c r="Z2" s="12" t="s">
        <v>169</v>
      </c>
      <c r="AA2" s="12" t="s">
        <v>170</v>
      </c>
      <c r="AB2" s="12" t="s">
        <v>171</v>
      </c>
      <c r="AC2" s="12" t="s">
        <v>172</v>
      </c>
      <c r="AD2" s="12" t="s">
        <v>169</v>
      </c>
      <c r="AE2" s="12" t="s">
        <v>170</v>
      </c>
      <c r="AF2" s="12" t="s">
        <v>171</v>
      </c>
      <c r="AG2" s="12" t="s">
        <v>172</v>
      </c>
      <c r="AH2" s="12" t="s">
        <v>169</v>
      </c>
      <c r="AI2" s="12" t="s">
        <v>170</v>
      </c>
      <c r="AJ2" s="12" t="s">
        <v>171</v>
      </c>
      <c r="AK2" s="12" t="s">
        <v>172</v>
      </c>
      <c r="AL2" s="12" t="s">
        <v>169</v>
      </c>
      <c r="AM2" s="12" t="s">
        <v>170</v>
      </c>
      <c r="AN2" s="12" t="s">
        <v>171</v>
      </c>
      <c r="AO2" s="12" t="s">
        <v>172</v>
      </c>
    </row>
    <row r="3" spans="1:41" x14ac:dyDescent="0.2">
      <c r="A3" s="5" t="s">
        <v>173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>
        <v>7</v>
      </c>
      <c r="AA3" s="13">
        <v>0</v>
      </c>
      <c r="AB3" s="13">
        <v>83.3</v>
      </c>
      <c r="AC3" s="13">
        <v>74.900000000000006</v>
      </c>
      <c r="AD3" s="13">
        <v>8</v>
      </c>
      <c r="AE3" s="13">
        <v>0</v>
      </c>
      <c r="AF3" s="13">
        <v>84.6</v>
      </c>
      <c r="AG3" s="13">
        <v>77.900000000000006</v>
      </c>
      <c r="AH3" s="13">
        <v>7</v>
      </c>
      <c r="AI3" s="13">
        <v>0</v>
      </c>
      <c r="AJ3" s="13">
        <v>81.400000000000006</v>
      </c>
      <c r="AK3" s="13">
        <v>75.900000000000006</v>
      </c>
      <c r="AL3" s="13">
        <v>7</v>
      </c>
      <c r="AM3" s="13">
        <v>0</v>
      </c>
      <c r="AN3" s="13">
        <v>86.9</v>
      </c>
      <c r="AO3" s="13">
        <v>78.3</v>
      </c>
    </row>
    <row r="4" spans="1:41" x14ac:dyDescent="0.2">
      <c r="A4" s="5" t="s">
        <v>31</v>
      </c>
      <c r="B4" s="13"/>
      <c r="C4" s="13"/>
      <c r="D4" s="13"/>
      <c r="E4" s="13"/>
      <c r="F4" s="13">
        <v>1</v>
      </c>
      <c r="G4" s="13">
        <v>0</v>
      </c>
      <c r="H4" s="13">
        <v>88</v>
      </c>
      <c r="I4" s="13">
        <v>77</v>
      </c>
      <c r="J4" s="13">
        <v>7</v>
      </c>
      <c r="K4" s="13">
        <v>2</v>
      </c>
      <c r="L4" s="13">
        <v>88</v>
      </c>
      <c r="M4" s="13">
        <v>75.099999999999994</v>
      </c>
      <c r="N4" s="13">
        <v>7</v>
      </c>
      <c r="O4" s="13">
        <v>0</v>
      </c>
      <c r="P4" s="13">
        <v>90.3</v>
      </c>
      <c r="Q4" s="13">
        <v>78.3</v>
      </c>
      <c r="R4" s="13"/>
      <c r="S4" s="13"/>
      <c r="T4" s="13"/>
      <c r="U4" s="13"/>
      <c r="V4" s="13">
        <v>5</v>
      </c>
      <c r="W4" s="13">
        <v>0</v>
      </c>
      <c r="X4" s="13">
        <v>91.8</v>
      </c>
      <c r="Y4" s="13">
        <v>80</v>
      </c>
      <c r="Z4" s="13">
        <v>8</v>
      </c>
      <c r="AA4" s="13">
        <v>0</v>
      </c>
      <c r="AB4" s="13">
        <v>93</v>
      </c>
      <c r="AC4" s="13">
        <v>78.8</v>
      </c>
      <c r="AD4" s="13">
        <v>7</v>
      </c>
      <c r="AE4" s="13">
        <v>1</v>
      </c>
      <c r="AF4" s="13">
        <v>94</v>
      </c>
      <c r="AG4" s="13">
        <v>78.3</v>
      </c>
      <c r="AH4" s="13">
        <v>9</v>
      </c>
      <c r="AI4" s="13">
        <v>2</v>
      </c>
      <c r="AJ4" s="13">
        <v>89.1</v>
      </c>
      <c r="AK4" s="13">
        <v>75.099999999999994</v>
      </c>
      <c r="AL4" s="13">
        <v>9</v>
      </c>
      <c r="AM4" s="13">
        <v>1</v>
      </c>
      <c r="AN4" s="13">
        <v>87.9</v>
      </c>
      <c r="AO4" s="13">
        <v>76.3</v>
      </c>
    </row>
    <row r="5" spans="1:41" x14ac:dyDescent="0.2">
      <c r="A5" s="5" t="s">
        <v>174</v>
      </c>
      <c r="B5" s="13">
        <v>4</v>
      </c>
      <c r="C5" s="13">
        <v>0</v>
      </c>
      <c r="D5" s="13"/>
      <c r="E5" s="13"/>
      <c r="F5" s="13">
        <v>6</v>
      </c>
      <c r="G5" s="13">
        <v>1</v>
      </c>
      <c r="H5" s="13">
        <v>93.3</v>
      </c>
      <c r="I5" s="13">
        <v>81.8</v>
      </c>
      <c r="J5" s="13">
        <v>7</v>
      </c>
      <c r="K5" s="13">
        <v>0</v>
      </c>
      <c r="L5" s="13">
        <v>95.9</v>
      </c>
      <c r="M5" s="13">
        <v>81.599999999999994</v>
      </c>
      <c r="N5" s="13"/>
      <c r="O5" s="13"/>
      <c r="P5" s="13"/>
      <c r="Q5" s="13"/>
      <c r="R5" s="13"/>
      <c r="S5" s="13"/>
      <c r="T5" s="13"/>
      <c r="U5" s="13"/>
      <c r="V5" s="13">
        <v>3</v>
      </c>
      <c r="W5" s="13">
        <v>1</v>
      </c>
      <c r="X5" s="13">
        <v>90.7</v>
      </c>
      <c r="Y5" s="13">
        <v>72.7</v>
      </c>
      <c r="Z5" s="13">
        <v>9</v>
      </c>
      <c r="AA5" s="13">
        <v>1</v>
      </c>
      <c r="AB5" s="13">
        <v>86.9</v>
      </c>
      <c r="AC5" s="13">
        <v>74.3</v>
      </c>
      <c r="AD5" s="13">
        <v>8</v>
      </c>
      <c r="AE5" s="13">
        <v>0</v>
      </c>
      <c r="AF5" s="13">
        <v>90.6</v>
      </c>
      <c r="AG5" s="13">
        <v>80.5</v>
      </c>
      <c r="AH5" s="13">
        <v>9</v>
      </c>
      <c r="AI5" s="13">
        <v>0</v>
      </c>
      <c r="AJ5" s="13">
        <v>90.4</v>
      </c>
      <c r="AK5" s="13">
        <v>80.599999999999994</v>
      </c>
      <c r="AL5" s="13">
        <v>10</v>
      </c>
      <c r="AM5" s="13">
        <v>1</v>
      </c>
      <c r="AN5" s="13">
        <v>88.4</v>
      </c>
      <c r="AO5" s="13">
        <v>75.5</v>
      </c>
    </row>
    <row r="6" spans="1:41" x14ac:dyDescent="0.2">
      <c r="A6" s="5" t="s">
        <v>33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8</v>
      </c>
      <c r="W6" s="13">
        <v>1</v>
      </c>
      <c r="X6" s="13">
        <v>95.8</v>
      </c>
      <c r="Y6" s="13">
        <v>77.400000000000006</v>
      </c>
      <c r="Z6" s="13">
        <v>5</v>
      </c>
      <c r="AA6" s="13">
        <v>0</v>
      </c>
      <c r="AB6" s="13">
        <v>101.4</v>
      </c>
      <c r="AC6" s="13">
        <v>83.2</v>
      </c>
      <c r="AD6" s="13">
        <v>7</v>
      </c>
      <c r="AE6" s="13">
        <v>0</v>
      </c>
      <c r="AF6" s="13">
        <v>97.7</v>
      </c>
      <c r="AG6" s="13">
        <v>80</v>
      </c>
      <c r="AH6" s="13">
        <v>9</v>
      </c>
      <c r="AI6" s="13">
        <v>1</v>
      </c>
      <c r="AJ6" s="13">
        <v>90.9</v>
      </c>
      <c r="AK6" s="13">
        <v>75</v>
      </c>
      <c r="AL6" s="13">
        <v>10</v>
      </c>
      <c r="AM6" s="13">
        <v>2</v>
      </c>
      <c r="AN6" s="13">
        <v>91.3</v>
      </c>
      <c r="AO6" s="13">
        <v>75.5</v>
      </c>
    </row>
    <row r="7" spans="1:41" x14ac:dyDescent="0.2">
      <c r="A7" s="5" t="s">
        <v>175</v>
      </c>
      <c r="B7" s="13">
        <v>4</v>
      </c>
      <c r="C7" s="13">
        <v>0</v>
      </c>
      <c r="D7" s="13">
        <v>124</v>
      </c>
      <c r="E7" s="13"/>
      <c r="F7" s="13">
        <v>6</v>
      </c>
      <c r="G7" s="13">
        <v>0</v>
      </c>
      <c r="H7" s="13">
        <v>105.3</v>
      </c>
      <c r="I7" s="13">
        <v>78.3</v>
      </c>
      <c r="J7" s="13">
        <v>8</v>
      </c>
      <c r="K7" s="13">
        <v>2</v>
      </c>
      <c r="L7" s="13">
        <v>107</v>
      </c>
      <c r="M7" s="13">
        <v>80</v>
      </c>
      <c r="N7" s="13">
        <v>7</v>
      </c>
      <c r="O7" s="13">
        <v>2</v>
      </c>
      <c r="P7" s="13">
        <v>101.3</v>
      </c>
      <c r="Q7" s="13">
        <v>75.3</v>
      </c>
      <c r="R7" s="13"/>
      <c r="S7" s="13"/>
      <c r="T7" s="13"/>
      <c r="U7" s="13"/>
      <c r="V7" s="13">
        <v>6</v>
      </c>
      <c r="W7" s="13">
        <v>0</v>
      </c>
      <c r="X7" s="13">
        <v>102.2</v>
      </c>
      <c r="Y7" s="13">
        <v>78.3</v>
      </c>
      <c r="Z7" s="13">
        <v>7</v>
      </c>
      <c r="AA7" s="13">
        <v>0</v>
      </c>
      <c r="AB7" s="13">
        <v>101.7</v>
      </c>
      <c r="AC7" s="13">
        <v>79.099999999999994</v>
      </c>
      <c r="AD7" s="13">
        <v>9</v>
      </c>
      <c r="AE7" s="13">
        <v>3</v>
      </c>
      <c r="AF7" s="13">
        <v>95.9</v>
      </c>
      <c r="AG7" s="13">
        <v>73.400000000000006</v>
      </c>
      <c r="AH7" s="13">
        <v>10</v>
      </c>
      <c r="AI7" s="13">
        <v>1</v>
      </c>
      <c r="AJ7" s="13">
        <v>94.9</v>
      </c>
      <c r="AK7" s="13">
        <v>77.3</v>
      </c>
      <c r="AL7" s="13">
        <v>9</v>
      </c>
      <c r="AM7" s="13">
        <v>1</v>
      </c>
      <c r="AN7" s="13">
        <v>95.9</v>
      </c>
      <c r="AO7" s="13">
        <v>80.7</v>
      </c>
    </row>
    <row r="8" spans="1:41" x14ac:dyDescent="0.2">
      <c r="A8" s="5" t="s">
        <v>176</v>
      </c>
      <c r="B8" s="13">
        <v>4</v>
      </c>
      <c r="C8" s="13">
        <v>0</v>
      </c>
      <c r="D8" s="13">
        <v>105</v>
      </c>
      <c r="E8" s="13"/>
      <c r="F8" s="13">
        <v>5</v>
      </c>
      <c r="G8" s="13">
        <v>0</v>
      </c>
      <c r="H8" s="13">
        <v>104.6</v>
      </c>
      <c r="I8" s="13">
        <v>81.599999999999994</v>
      </c>
      <c r="J8" s="13">
        <v>8</v>
      </c>
      <c r="K8" s="13">
        <v>1</v>
      </c>
      <c r="L8" s="13">
        <v>103.9</v>
      </c>
      <c r="M8" s="13">
        <v>79.099999999999994</v>
      </c>
      <c r="N8" s="13">
        <v>6</v>
      </c>
      <c r="O8" s="13">
        <v>0</v>
      </c>
      <c r="P8" s="13">
        <v>107.3</v>
      </c>
      <c r="Q8" s="13">
        <v>83.2</v>
      </c>
      <c r="R8" s="13"/>
      <c r="S8" s="13"/>
      <c r="T8" s="13"/>
      <c r="U8" s="13"/>
      <c r="V8" s="13">
        <v>9</v>
      </c>
      <c r="W8" s="13">
        <v>1</v>
      </c>
      <c r="X8" s="13">
        <v>101</v>
      </c>
      <c r="Y8" s="13">
        <v>76.099999999999994</v>
      </c>
      <c r="Z8" s="13">
        <v>7</v>
      </c>
      <c r="AA8" s="13">
        <v>0</v>
      </c>
      <c r="AB8" s="13">
        <v>100.9</v>
      </c>
      <c r="AC8" s="13">
        <v>75.099999999999994</v>
      </c>
      <c r="AD8" s="13">
        <v>8</v>
      </c>
      <c r="AE8" s="13">
        <v>1</v>
      </c>
      <c r="AF8" s="13">
        <v>100</v>
      </c>
      <c r="AG8" s="13">
        <v>75.2</v>
      </c>
      <c r="AH8" s="13">
        <v>10</v>
      </c>
      <c r="AI8" s="13">
        <v>1</v>
      </c>
      <c r="AJ8" s="13">
        <v>99</v>
      </c>
      <c r="AK8" s="13">
        <v>77</v>
      </c>
      <c r="AL8" s="13">
        <v>8</v>
      </c>
      <c r="AM8" s="13">
        <v>0</v>
      </c>
      <c r="AN8" s="13">
        <v>98.1</v>
      </c>
      <c r="AO8" s="13">
        <v>78.599999999999994</v>
      </c>
    </row>
    <row r="9" spans="1:41" x14ac:dyDescent="0.2">
      <c r="A9" s="5" t="s">
        <v>177</v>
      </c>
      <c r="B9" s="13">
        <v>4</v>
      </c>
      <c r="C9" s="13">
        <v>0</v>
      </c>
      <c r="D9" s="13">
        <v>112.3</v>
      </c>
      <c r="E9" s="13"/>
      <c r="F9" s="13">
        <v>7</v>
      </c>
      <c r="G9" s="13">
        <v>0</v>
      </c>
      <c r="H9" s="13">
        <v>100.9</v>
      </c>
      <c r="I9" s="13">
        <v>76.7</v>
      </c>
      <c r="J9" s="13">
        <v>8</v>
      </c>
      <c r="K9" s="13">
        <v>0</v>
      </c>
      <c r="L9" s="13">
        <v>101.2</v>
      </c>
      <c r="M9" s="13">
        <v>78.2</v>
      </c>
      <c r="N9" s="13">
        <v>6</v>
      </c>
      <c r="O9" s="13">
        <v>0</v>
      </c>
      <c r="P9" s="13">
        <v>105</v>
      </c>
      <c r="Q9" s="13">
        <v>82.7</v>
      </c>
      <c r="R9" s="13"/>
      <c r="S9" s="13"/>
      <c r="T9" s="13"/>
      <c r="U9" s="13"/>
      <c r="V9" s="13">
        <v>5</v>
      </c>
      <c r="W9" s="13">
        <v>0</v>
      </c>
      <c r="X9" s="13">
        <v>103.6</v>
      </c>
      <c r="Y9" s="13">
        <v>78.8</v>
      </c>
      <c r="Z9" s="13">
        <v>6</v>
      </c>
      <c r="AA9" s="13">
        <v>0</v>
      </c>
      <c r="AB9" s="13">
        <v>102.5</v>
      </c>
      <c r="AC9" s="13">
        <v>77.5</v>
      </c>
      <c r="AD9" s="13">
        <v>9</v>
      </c>
      <c r="AE9" s="13">
        <v>0</v>
      </c>
      <c r="AF9" s="13">
        <v>98.6</v>
      </c>
      <c r="AG9" s="13">
        <v>77.400000000000006</v>
      </c>
      <c r="AH9" s="13">
        <v>8</v>
      </c>
      <c r="AI9" s="13">
        <v>1</v>
      </c>
      <c r="AJ9" s="13">
        <v>97</v>
      </c>
      <c r="AK9" s="13">
        <v>76.599999999999994</v>
      </c>
      <c r="AL9" s="13">
        <v>10</v>
      </c>
      <c r="AM9" s="13">
        <v>0</v>
      </c>
      <c r="AN9" s="13">
        <v>98.9</v>
      </c>
      <c r="AO9" s="13">
        <v>78.7</v>
      </c>
    </row>
    <row r="10" spans="1:41" x14ac:dyDescent="0.2">
      <c r="A10" s="5" t="s">
        <v>178</v>
      </c>
      <c r="B10" s="13"/>
      <c r="C10" s="13"/>
      <c r="D10" s="13"/>
      <c r="E10" s="13"/>
      <c r="F10" s="13">
        <v>2</v>
      </c>
      <c r="G10" s="13">
        <v>0</v>
      </c>
      <c r="H10" s="13">
        <v>118.5</v>
      </c>
      <c r="I10" s="13">
        <v>93.5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>
        <v>7</v>
      </c>
      <c r="AA10" s="13">
        <v>0</v>
      </c>
      <c r="AB10" s="13">
        <v>108.4</v>
      </c>
      <c r="AC10" s="13">
        <v>82.9</v>
      </c>
      <c r="AD10" s="13">
        <v>7</v>
      </c>
      <c r="AE10" s="13">
        <v>0</v>
      </c>
      <c r="AF10" s="13">
        <v>103.1</v>
      </c>
      <c r="AG10" s="13">
        <v>77.099999999999994</v>
      </c>
      <c r="AH10" s="13">
        <v>6</v>
      </c>
      <c r="AI10" s="13">
        <v>0</v>
      </c>
      <c r="AJ10" s="13">
        <v>102.2</v>
      </c>
      <c r="AK10" s="13">
        <v>77</v>
      </c>
      <c r="AL10" s="13">
        <v>6</v>
      </c>
      <c r="AM10" s="13">
        <v>0</v>
      </c>
      <c r="AN10" s="13">
        <v>100</v>
      </c>
      <c r="AO10" s="13">
        <v>78</v>
      </c>
    </row>
    <row r="11" spans="1:41" x14ac:dyDescent="0.2">
      <c r="A11" s="5" t="s">
        <v>38</v>
      </c>
      <c r="B11" s="13">
        <v>4</v>
      </c>
      <c r="C11" s="13">
        <v>1</v>
      </c>
      <c r="D11" s="13">
        <v>97.5</v>
      </c>
      <c r="E11" s="13"/>
      <c r="F11" s="13">
        <v>7</v>
      </c>
      <c r="G11" s="13">
        <v>2</v>
      </c>
      <c r="H11" s="13">
        <v>94.4</v>
      </c>
      <c r="I11" s="13">
        <v>75.900000000000006</v>
      </c>
      <c r="J11" s="13">
        <v>8</v>
      </c>
      <c r="K11" s="13">
        <v>1</v>
      </c>
      <c r="L11" s="13">
        <v>95.1</v>
      </c>
      <c r="M11" s="13">
        <v>81.099999999999994</v>
      </c>
      <c r="N11" s="13">
        <v>8</v>
      </c>
      <c r="O11" s="13">
        <v>0</v>
      </c>
      <c r="P11" s="13">
        <v>90</v>
      </c>
      <c r="Q11" s="13">
        <v>77.400000000000006</v>
      </c>
      <c r="R11" s="13"/>
      <c r="S11" s="13"/>
      <c r="T11" s="13"/>
      <c r="U11" s="13"/>
      <c r="V11" s="13">
        <v>8</v>
      </c>
      <c r="W11" s="13">
        <v>2</v>
      </c>
      <c r="X11" s="13">
        <v>84.8</v>
      </c>
      <c r="Y11" s="13">
        <v>74.400000000000006</v>
      </c>
      <c r="Z11" s="13">
        <v>7</v>
      </c>
      <c r="AA11" s="13">
        <v>0</v>
      </c>
      <c r="AB11" s="13">
        <v>87.7</v>
      </c>
      <c r="AC11" s="13">
        <v>76.400000000000006</v>
      </c>
      <c r="AD11" s="13">
        <v>9</v>
      </c>
      <c r="AE11" s="13">
        <v>0</v>
      </c>
      <c r="AF11" s="13">
        <v>84.8</v>
      </c>
      <c r="AG11" s="13">
        <v>75.7</v>
      </c>
      <c r="AH11" s="13">
        <v>9</v>
      </c>
      <c r="AI11" s="13">
        <v>0</v>
      </c>
      <c r="AJ11" s="13">
        <v>87.2</v>
      </c>
      <c r="AK11" s="13">
        <v>78</v>
      </c>
      <c r="AL11" s="13">
        <v>9</v>
      </c>
      <c r="AM11" s="13">
        <v>1</v>
      </c>
      <c r="AN11" s="13">
        <v>85.9</v>
      </c>
      <c r="AO11" s="13">
        <v>76</v>
      </c>
    </row>
    <row r="12" spans="1:41" x14ac:dyDescent="0.2">
      <c r="A12" s="5" t="s">
        <v>179</v>
      </c>
      <c r="B12" s="13">
        <v>4</v>
      </c>
      <c r="C12" s="13">
        <v>0</v>
      </c>
      <c r="D12" s="13">
        <v>98.7</v>
      </c>
      <c r="E12" s="13"/>
      <c r="F12" s="13">
        <v>7</v>
      </c>
      <c r="G12" s="13">
        <v>0</v>
      </c>
      <c r="H12" s="13">
        <v>94.9</v>
      </c>
      <c r="I12" s="13">
        <v>79.3</v>
      </c>
      <c r="J12" s="13">
        <v>8</v>
      </c>
      <c r="K12" s="13">
        <v>1</v>
      </c>
      <c r="L12" s="13">
        <v>93.4</v>
      </c>
      <c r="M12" s="13">
        <v>77.099999999999994</v>
      </c>
      <c r="N12" s="13">
        <v>8</v>
      </c>
      <c r="O12" s="13">
        <v>2</v>
      </c>
      <c r="P12" s="13">
        <v>92.4</v>
      </c>
      <c r="Q12" s="13">
        <v>76.599999999999994</v>
      </c>
      <c r="R12" s="13"/>
      <c r="S12" s="13"/>
      <c r="T12" s="13"/>
      <c r="U12" s="13"/>
      <c r="V12" s="13">
        <v>9</v>
      </c>
      <c r="W12" s="13">
        <v>1</v>
      </c>
      <c r="X12" s="13">
        <v>88.4</v>
      </c>
      <c r="Y12" s="13">
        <v>76</v>
      </c>
      <c r="Z12" s="13">
        <v>9</v>
      </c>
      <c r="AA12" s="13">
        <v>2</v>
      </c>
      <c r="AB12" s="13">
        <v>88.3</v>
      </c>
      <c r="AC12" s="13">
        <v>76.900000000000006</v>
      </c>
      <c r="AD12" s="13">
        <v>9</v>
      </c>
      <c r="AE12" s="13">
        <v>2</v>
      </c>
      <c r="AF12" s="13">
        <v>82.6</v>
      </c>
      <c r="AG12" s="13">
        <v>74.900000000000006</v>
      </c>
      <c r="AH12" s="13">
        <v>7</v>
      </c>
      <c r="AI12" s="13">
        <v>0</v>
      </c>
      <c r="AJ12" s="13">
        <v>87.4</v>
      </c>
      <c r="AK12" s="13">
        <v>80.3</v>
      </c>
      <c r="AL12" s="13">
        <v>10</v>
      </c>
      <c r="AM12" s="13">
        <v>0</v>
      </c>
      <c r="AN12" s="13">
        <v>91</v>
      </c>
      <c r="AO12" s="13">
        <v>80.900000000000006</v>
      </c>
    </row>
    <row r="13" spans="1:41" x14ac:dyDescent="0.2">
      <c r="A13" s="5" t="s">
        <v>180</v>
      </c>
      <c r="B13" s="13">
        <v>4</v>
      </c>
      <c r="C13" s="13">
        <v>0</v>
      </c>
      <c r="D13" s="13">
        <v>95.3</v>
      </c>
      <c r="E13" s="13"/>
      <c r="F13" s="13">
        <v>8</v>
      </c>
      <c r="G13" s="13">
        <v>0</v>
      </c>
      <c r="H13" s="13">
        <v>97.6</v>
      </c>
      <c r="I13" s="13">
        <v>80.2</v>
      </c>
      <c r="J13" s="13">
        <v>7</v>
      </c>
      <c r="K13" s="13">
        <v>0</v>
      </c>
      <c r="L13" s="13">
        <v>96.6</v>
      </c>
      <c r="M13" s="13">
        <v>77.099999999999994</v>
      </c>
      <c r="N13" s="13">
        <v>8</v>
      </c>
      <c r="O13" s="13">
        <v>2</v>
      </c>
      <c r="P13" s="13">
        <v>92.4</v>
      </c>
      <c r="Q13" s="13">
        <v>73.2</v>
      </c>
      <c r="R13" s="13"/>
      <c r="S13" s="13"/>
      <c r="T13" s="13"/>
      <c r="U13" s="13"/>
      <c r="V13" s="13">
        <v>5</v>
      </c>
      <c r="W13" s="13">
        <v>1</v>
      </c>
      <c r="X13" s="13">
        <v>93</v>
      </c>
      <c r="Y13" s="13">
        <v>76.2</v>
      </c>
      <c r="Z13" s="13">
        <v>7</v>
      </c>
      <c r="AA13" s="13">
        <v>1</v>
      </c>
      <c r="AB13" s="13">
        <v>93.9</v>
      </c>
      <c r="AC13" s="13">
        <v>76.099999999999994</v>
      </c>
      <c r="AD13" s="13">
        <v>7</v>
      </c>
      <c r="AE13" s="13">
        <v>1</v>
      </c>
      <c r="AF13" s="13">
        <v>92</v>
      </c>
      <c r="AG13" s="13">
        <v>77.3</v>
      </c>
      <c r="AH13" s="13">
        <v>8</v>
      </c>
      <c r="AI13" s="13">
        <v>0</v>
      </c>
      <c r="AJ13" s="13">
        <v>94.9</v>
      </c>
      <c r="AK13" s="13">
        <v>80.5</v>
      </c>
      <c r="AL13" s="13">
        <v>8</v>
      </c>
      <c r="AM13" s="13">
        <v>0</v>
      </c>
      <c r="AN13" s="13">
        <v>95.5</v>
      </c>
      <c r="AO13" s="13">
        <v>81.2</v>
      </c>
    </row>
    <row r="14" spans="1:41" x14ac:dyDescent="0.2">
      <c r="A14" s="5" t="s">
        <v>181</v>
      </c>
      <c r="B14" s="13">
        <v>4</v>
      </c>
      <c r="C14" s="13">
        <v>0</v>
      </c>
      <c r="D14" s="13">
        <v>106.7</v>
      </c>
      <c r="E14" s="13"/>
      <c r="F14" s="13">
        <v>7</v>
      </c>
      <c r="G14" s="13">
        <v>1</v>
      </c>
      <c r="H14" s="13">
        <v>96.9</v>
      </c>
      <c r="I14" s="13">
        <v>80.900000000000006</v>
      </c>
      <c r="J14" s="13">
        <v>5</v>
      </c>
      <c r="K14" s="13">
        <v>0</v>
      </c>
      <c r="L14" s="13">
        <v>99</v>
      </c>
      <c r="M14" s="13">
        <v>82.2</v>
      </c>
      <c r="N14" s="13">
        <v>7</v>
      </c>
      <c r="O14" s="13">
        <v>0</v>
      </c>
      <c r="P14" s="13">
        <v>96.3</v>
      </c>
      <c r="Q14" s="13">
        <v>78.400000000000006</v>
      </c>
      <c r="R14" s="13"/>
      <c r="S14" s="13"/>
      <c r="T14" s="13"/>
      <c r="U14" s="13"/>
      <c r="V14" s="13">
        <v>8</v>
      </c>
      <c r="W14" s="13">
        <v>0</v>
      </c>
      <c r="X14" s="13">
        <v>94.8</v>
      </c>
      <c r="Y14" s="13">
        <v>76.2</v>
      </c>
      <c r="Z14" s="13">
        <v>9</v>
      </c>
      <c r="AA14" s="13">
        <v>4</v>
      </c>
      <c r="AB14" s="13">
        <v>91.4</v>
      </c>
      <c r="AC14" s="13">
        <v>73.2</v>
      </c>
      <c r="AD14" s="13">
        <v>8</v>
      </c>
      <c r="AE14" s="13">
        <v>1</v>
      </c>
      <c r="AF14" s="13">
        <v>95.2</v>
      </c>
      <c r="AG14" s="13">
        <v>80.8</v>
      </c>
      <c r="AH14" s="13">
        <v>8</v>
      </c>
      <c r="AI14" s="13">
        <v>1</v>
      </c>
      <c r="AJ14" s="13">
        <v>93.2</v>
      </c>
      <c r="AK14" s="13">
        <v>78.2</v>
      </c>
      <c r="AL14" s="13">
        <v>10</v>
      </c>
      <c r="AM14" s="13">
        <v>2</v>
      </c>
      <c r="AN14" s="13">
        <v>92.1</v>
      </c>
      <c r="AO14" s="13">
        <v>75.599999999999994</v>
      </c>
    </row>
    <row r="15" spans="1:41" x14ac:dyDescent="0.2">
      <c r="A15" s="5" t="s">
        <v>182</v>
      </c>
      <c r="B15" s="13">
        <v>4</v>
      </c>
      <c r="C15" s="13">
        <v>1</v>
      </c>
      <c r="D15" s="13">
        <v>103.3</v>
      </c>
      <c r="E15" s="13"/>
      <c r="F15" s="13">
        <v>6</v>
      </c>
      <c r="G15" s="13">
        <v>0</v>
      </c>
      <c r="H15" s="13">
        <v>105.2</v>
      </c>
      <c r="I15" s="13">
        <v>85.2</v>
      </c>
      <c r="J15" s="13">
        <v>7</v>
      </c>
      <c r="K15" s="13">
        <v>1</v>
      </c>
      <c r="L15" s="13">
        <v>99.4</v>
      </c>
      <c r="M15" s="13">
        <v>78.3</v>
      </c>
      <c r="N15" s="13">
        <v>7</v>
      </c>
      <c r="O15" s="13">
        <v>0</v>
      </c>
      <c r="P15" s="13">
        <v>101.7</v>
      </c>
      <c r="Q15" s="13">
        <v>79.7</v>
      </c>
      <c r="R15" s="13"/>
      <c r="S15" s="13"/>
      <c r="T15" s="13"/>
      <c r="U15" s="13"/>
      <c r="V15" s="13">
        <v>9</v>
      </c>
      <c r="W15" s="13">
        <v>1</v>
      </c>
      <c r="X15" s="13">
        <v>97.6</v>
      </c>
      <c r="Y15" s="13">
        <v>76.099999999999994</v>
      </c>
      <c r="Z15" s="13">
        <v>7</v>
      </c>
      <c r="AA15" s="13">
        <v>0</v>
      </c>
      <c r="AB15" s="13">
        <v>94.6</v>
      </c>
      <c r="AC15" s="13">
        <v>73.099999999999994</v>
      </c>
      <c r="AD15" s="13">
        <v>9</v>
      </c>
      <c r="AE15" s="13">
        <v>1</v>
      </c>
      <c r="AF15" s="13">
        <v>99.1</v>
      </c>
      <c r="AG15" s="13">
        <v>79.8</v>
      </c>
      <c r="AH15" s="13">
        <v>10</v>
      </c>
      <c r="AI15" s="13">
        <v>0</v>
      </c>
      <c r="AJ15" s="13">
        <v>95</v>
      </c>
      <c r="AK15" s="13">
        <v>76.5</v>
      </c>
      <c r="AL15" s="13">
        <v>10</v>
      </c>
      <c r="AM15" s="13">
        <v>2</v>
      </c>
      <c r="AN15" s="13">
        <v>95.8</v>
      </c>
      <c r="AO15" s="13">
        <v>77.900000000000006</v>
      </c>
    </row>
    <row r="16" spans="1:41" x14ac:dyDescent="0.2">
      <c r="A16" s="5" t="s">
        <v>183</v>
      </c>
      <c r="B16" s="13">
        <v>4</v>
      </c>
      <c r="C16" s="13">
        <v>0</v>
      </c>
      <c r="D16" s="13">
        <v>117</v>
      </c>
      <c r="E16" s="13"/>
      <c r="F16" s="13">
        <v>7</v>
      </c>
      <c r="G16" s="13">
        <v>2</v>
      </c>
      <c r="H16" s="13">
        <v>100.4</v>
      </c>
      <c r="I16" s="13">
        <v>75.599999999999994</v>
      </c>
      <c r="J16" s="13">
        <v>6</v>
      </c>
      <c r="K16" s="13">
        <v>0</v>
      </c>
      <c r="L16" s="13">
        <v>105.7</v>
      </c>
      <c r="M16" s="13">
        <v>82.5</v>
      </c>
      <c r="N16" s="13">
        <v>3</v>
      </c>
      <c r="O16" s="13">
        <v>0</v>
      </c>
      <c r="P16" s="13">
        <v>106</v>
      </c>
      <c r="Q16" s="13">
        <v>82.7</v>
      </c>
      <c r="R16" s="13"/>
      <c r="S16" s="13"/>
      <c r="T16" s="13"/>
      <c r="U16" s="13"/>
      <c r="V16" s="13">
        <v>8</v>
      </c>
      <c r="W16" s="13">
        <v>1</v>
      </c>
      <c r="X16" s="13">
        <v>100.9</v>
      </c>
      <c r="Y16" s="13">
        <v>79</v>
      </c>
      <c r="Z16" s="13">
        <v>7</v>
      </c>
      <c r="AA16" s="13">
        <v>1</v>
      </c>
      <c r="AB16" s="13">
        <v>97.6</v>
      </c>
      <c r="AC16" s="13">
        <v>75.099999999999994</v>
      </c>
      <c r="AD16" s="13">
        <v>7</v>
      </c>
      <c r="AE16" s="13">
        <v>1</v>
      </c>
      <c r="AF16" s="13">
        <v>94.7</v>
      </c>
      <c r="AG16" s="13">
        <v>74.400000000000006</v>
      </c>
      <c r="AH16" s="13">
        <v>9</v>
      </c>
      <c r="AI16" s="13">
        <v>1</v>
      </c>
      <c r="AJ16" s="13">
        <v>99.4</v>
      </c>
      <c r="AK16" s="13">
        <v>81.099999999999994</v>
      </c>
      <c r="AL16" s="13">
        <v>8</v>
      </c>
      <c r="AM16" s="13">
        <v>1</v>
      </c>
      <c r="AN16" s="13">
        <v>95.5</v>
      </c>
      <c r="AO16" s="13">
        <v>77.5</v>
      </c>
    </row>
    <row r="17" spans="1:41" x14ac:dyDescent="0.2">
      <c r="A17" s="5" t="s">
        <v>184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>
        <v>1</v>
      </c>
      <c r="AE17" s="13">
        <v>0</v>
      </c>
      <c r="AF17" s="13">
        <v>105</v>
      </c>
      <c r="AG17" s="13">
        <v>83</v>
      </c>
      <c r="AH17" s="13">
        <v>5</v>
      </c>
      <c r="AI17" s="13">
        <v>0</v>
      </c>
      <c r="AJ17" s="13">
        <v>99.8</v>
      </c>
      <c r="AK17" s="13">
        <v>77.8</v>
      </c>
      <c r="AL17" s="13">
        <v>5</v>
      </c>
      <c r="AM17" s="13">
        <v>0</v>
      </c>
      <c r="AN17" s="13">
        <v>99</v>
      </c>
      <c r="AO17" s="13">
        <v>81</v>
      </c>
    </row>
    <row r="18" spans="1:41" x14ac:dyDescent="0.2">
      <c r="A18" s="5" t="s">
        <v>48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>
        <v>8</v>
      </c>
      <c r="W18" s="13">
        <v>0</v>
      </c>
      <c r="X18" s="13">
        <v>103.5</v>
      </c>
      <c r="Y18" s="13">
        <v>77.5</v>
      </c>
      <c r="Z18" s="13">
        <v>6</v>
      </c>
      <c r="AA18" s="13">
        <v>0</v>
      </c>
      <c r="AB18" s="13">
        <v>104.5</v>
      </c>
      <c r="AC18" s="13">
        <v>83.5</v>
      </c>
      <c r="AD18" s="13">
        <v>6</v>
      </c>
      <c r="AE18" s="13">
        <v>0</v>
      </c>
      <c r="AF18" s="13">
        <v>100.5</v>
      </c>
      <c r="AG18" s="13">
        <v>79.5</v>
      </c>
      <c r="AH18" s="13">
        <v>7</v>
      </c>
      <c r="AI18" s="13">
        <v>1</v>
      </c>
      <c r="AJ18" s="13">
        <v>101.1</v>
      </c>
      <c r="AK18" s="13">
        <v>79</v>
      </c>
      <c r="AL18" s="13">
        <v>10</v>
      </c>
      <c r="AM18" s="13">
        <v>1</v>
      </c>
      <c r="AN18" s="13">
        <v>98.4</v>
      </c>
      <c r="AO18" s="13">
        <v>78.599999999999994</v>
      </c>
    </row>
    <row r="19" spans="1:41" x14ac:dyDescent="0.2">
      <c r="A19" s="5" t="s">
        <v>49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</row>
    <row r="20" spans="1:41" x14ac:dyDescent="0.2">
      <c r="A20" s="5" t="s">
        <v>185</v>
      </c>
      <c r="B20" s="13">
        <v>4</v>
      </c>
      <c r="C20" s="13">
        <v>1</v>
      </c>
      <c r="D20" s="13">
        <v>100.7</v>
      </c>
      <c r="E20" s="13"/>
      <c r="F20" s="13">
        <v>5</v>
      </c>
      <c r="G20" s="13">
        <v>0</v>
      </c>
      <c r="H20" s="13">
        <v>102.8</v>
      </c>
      <c r="I20" s="13">
        <v>80.2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</row>
    <row r="21" spans="1:41" x14ac:dyDescent="0.2">
      <c r="A21" s="5" t="s">
        <v>186</v>
      </c>
      <c r="B21" s="13">
        <v>4</v>
      </c>
      <c r="C21" s="13">
        <v>0</v>
      </c>
      <c r="D21" s="13">
        <v>108.3</v>
      </c>
      <c r="E21" s="13"/>
      <c r="F21" s="13">
        <v>5</v>
      </c>
      <c r="G21" s="13">
        <v>0</v>
      </c>
      <c r="H21" s="13">
        <v>103.4</v>
      </c>
      <c r="I21" s="13">
        <v>83.2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</row>
    <row r="22" spans="1:41" x14ac:dyDescent="0.2">
      <c r="A22" s="5" t="s">
        <v>187</v>
      </c>
      <c r="B22" s="13"/>
      <c r="C22" s="13"/>
      <c r="D22" s="13"/>
      <c r="E22" s="13"/>
      <c r="F22" s="13">
        <v>8</v>
      </c>
      <c r="G22" s="13">
        <v>0</v>
      </c>
      <c r="H22" s="13">
        <v>97.5</v>
      </c>
      <c r="I22" s="13">
        <v>73.099999999999994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</row>
    <row r="23" spans="1:41" x14ac:dyDescent="0.2">
      <c r="A23" s="5" t="s">
        <v>188</v>
      </c>
      <c r="B23" s="13"/>
      <c r="C23" s="13"/>
      <c r="D23" s="13"/>
      <c r="E23" s="13"/>
      <c r="F23" s="13">
        <v>5</v>
      </c>
      <c r="G23" s="13">
        <v>0</v>
      </c>
      <c r="H23" s="13">
        <v>105.4</v>
      </c>
      <c r="I23" s="13">
        <v>80.400000000000006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</row>
    <row r="24" spans="1:41" x14ac:dyDescent="0.2">
      <c r="A24" s="5" t="s">
        <v>189</v>
      </c>
      <c r="B24" s="13"/>
      <c r="C24" s="13"/>
      <c r="D24" s="13"/>
      <c r="E24" s="13"/>
      <c r="F24" s="13">
        <v>6</v>
      </c>
      <c r="G24" s="13">
        <v>0</v>
      </c>
      <c r="H24" s="13">
        <v>98.3</v>
      </c>
      <c r="I24" s="13">
        <v>84.3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</row>
    <row r="25" spans="1:41" x14ac:dyDescent="0.2">
      <c r="A25" s="5" t="s">
        <v>190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>
        <v>2</v>
      </c>
      <c r="O25" s="13">
        <v>1</v>
      </c>
      <c r="P25" s="13">
        <v>93</v>
      </c>
      <c r="Q25" s="13">
        <v>70</v>
      </c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</row>
    <row r="26" spans="1:41" x14ac:dyDescent="0.2">
      <c r="A26" s="5" t="s">
        <v>191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v>1</v>
      </c>
      <c r="O26" s="13">
        <v>0</v>
      </c>
      <c r="P26" s="13">
        <v>103</v>
      </c>
      <c r="Q26" s="13">
        <v>82</v>
      </c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</row>
    <row r="27" spans="1:41" x14ac:dyDescent="0.2">
      <c r="A27" s="5" t="s">
        <v>192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</row>
    <row r="28" spans="1:41" x14ac:dyDescent="0.2">
      <c r="A28" s="5" t="s">
        <v>193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>
        <v>3</v>
      </c>
      <c r="W28" s="13">
        <v>1</v>
      </c>
      <c r="X28" s="13">
        <v>94.7</v>
      </c>
      <c r="Y28" s="13">
        <v>74.3</v>
      </c>
      <c r="Z28" s="13">
        <v>1</v>
      </c>
      <c r="AA28" s="13">
        <v>0</v>
      </c>
      <c r="AB28" s="13">
        <v>99</v>
      </c>
      <c r="AC28" s="13">
        <v>80</v>
      </c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</row>
    <row r="29" spans="1:41" x14ac:dyDescent="0.2">
      <c r="A29" s="5" t="s">
        <v>194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v>1</v>
      </c>
      <c r="W29" s="13">
        <v>0</v>
      </c>
      <c r="X29" s="13">
        <v>92</v>
      </c>
      <c r="Y29" s="13">
        <v>77</v>
      </c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</row>
    <row r="30" spans="1:41" x14ac:dyDescent="0.2">
      <c r="A30" s="5" t="s">
        <v>195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>
        <v>4</v>
      </c>
      <c r="AA30" s="13">
        <v>0</v>
      </c>
      <c r="AB30" s="13">
        <v>112</v>
      </c>
      <c r="AC30" s="13">
        <v>87</v>
      </c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</row>
    <row r="31" spans="1:41" x14ac:dyDescent="0.2">
      <c r="A31" s="5" t="s">
        <v>196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>
        <v>2</v>
      </c>
      <c r="AA31" s="13">
        <v>0</v>
      </c>
      <c r="AB31" s="13">
        <v>90</v>
      </c>
      <c r="AC31" s="13">
        <v>70.5</v>
      </c>
      <c r="AD31" s="13">
        <v>6</v>
      </c>
      <c r="AE31" s="13">
        <v>1</v>
      </c>
      <c r="AF31" s="13">
        <v>93.5</v>
      </c>
      <c r="AG31" s="13">
        <v>76.3</v>
      </c>
      <c r="AH31" s="13"/>
      <c r="AI31" s="13"/>
      <c r="AJ31" s="13"/>
      <c r="AK31" s="13"/>
      <c r="AL31" s="13"/>
      <c r="AM31" s="13"/>
      <c r="AN31" s="13"/>
      <c r="AO31" s="13"/>
    </row>
    <row r="32" spans="1:41" x14ac:dyDescent="0.2">
      <c r="A32" s="5" t="s">
        <v>197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>
        <v>1</v>
      </c>
      <c r="AA32" s="13">
        <v>0</v>
      </c>
      <c r="AB32" s="13">
        <v>85</v>
      </c>
      <c r="AC32" s="13">
        <v>79</v>
      </c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</row>
    <row r="33" spans="1:41" x14ac:dyDescent="0.2">
      <c r="A33" s="5" t="s">
        <v>198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>
        <v>2</v>
      </c>
      <c r="AI33" s="13">
        <v>0</v>
      </c>
      <c r="AJ33" s="13">
        <v>102.5</v>
      </c>
      <c r="AK33" s="13">
        <v>83.5</v>
      </c>
      <c r="AL33" s="13"/>
      <c r="AM33" s="13"/>
      <c r="AN33" s="13"/>
      <c r="AO33" s="13"/>
    </row>
    <row r="34" spans="1:41" x14ac:dyDescent="0.2">
      <c r="A34" s="5" t="s">
        <v>199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>
        <v>4</v>
      </c>
      <c r="AI34" s="13">
        <v>2</v>
      </c>
      <c r="AJ34" s="13">
        <v>87.8</v>
      </c>
      <c r="AK34" s="13">
        <v>72.5</v>
      </c>
      <c r="AL34" s="13">
        <v>3</v>
      </c>
      <c r="AM34" s="13">
        <v>0</v>
      </c>
      <c r="AN34" s="13">
        <v>89</v>
      </c>
      <c r="AO34" s="13">
        <v>77.3</v>
      </c>
    </row>
    <row r="35" spans="1:41" x14ac:dyDescent="0.2">
      <c r="A35" s="5" t="s">
        <v>200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>
        <v>4</v>
      </c>
      <c r="AI35" s="13">
        <v>0</v>
      </c>
      <c r="AJ35" s="13">
        <v>110.8</v>
      </c>
      <c r="AK35" s="13">
        <v>84.8</v>
      </c>
      <c r="AL35" s="13">
        <v>2</v>
      </c>
      <c r="AM35" s="13">
        <v>0</v>
      </c>
      <c r="AN35" s="13">
        <v>98</v>
      </c>
      <c r="AO35" s="13">
        <v>75.5</v>
      </c>
    </row>
    <row r="36" spans="1:41" x14ac:dyDescent="0.2">
      <c r="A36" s="5" t="s">
        <v>201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>
        <v>1</v>
      </c>
      <c r="AI36" s="13">
        <v>0</v>
      </c>
      <c r="AJ36" s="13">
        <v>92</v>
      </c>
      <c r="AK36" s="13">
        <v>82</v>
      </c>
      <c r="AL36" s="13"/>
      <c r="AM36" s="13"/>
      <c r="AN36" s="13"/>
      <c r="AO36" s="13"/>
    </row>
    <row r="37" spans="1:41" x14ac:dyDescent="0.2">
      <c r="A37" s="5" t="s">
        <v>202</v>
      </c>
      <c r="B37" s="13"/>
      <c r="C37" s="13"/>
      <c r="D37" s="13"/>
      <c r="E37" s="13"/>
      <c r="F37" s="13"/>
      <c r="G37" s="13"/>
      <c r="H37" s="13"/>
      <c r="I37" s="13"/>
      <c r="J37" s="13">
        <v>3</v>
      </c>
      <c r="K37" s="13">
        <v>1</v>
      </c>
      <c r="L37" s="13">
        <v>90</v>
      </c>
      <c r="M37" s="13">
        <v>77</v>
      </c>
      <c r="N37" s="13">
        <v>2</v>
      </c>
      <c r="O37" s="13">
        <v>0</v>
      </c>
      <c r="P37" s="13">
        <v>96.5</v>
      </c>
      <c r="Q37" s="13">
        <v>84.5</v>
      </c>
      <c r="R37" s="13"/>
      <c r="S37" s="13"/>
      <c r="T37" s="13"/>
      <c r="U37" s="13"/>
      <c r="V37" s="13"/>
      <c r="W37" s="13"/>
      <c r="X37" s="13"/>
      <c r="Y37" s="13"/>
      <c r="Z37" s="13">
        <v>1</v>
      </c>
      <c r="AA37" s="13">
        <v>1</v>
      </c>
      <c r="AB37" s="13">
        <v>83</v>
      </c>
      <c r="AC37" s="13">
        <v>67</v>
      </c>
      <c r="AD37" s="13"/>
      <c r="AE37" s="13"/>
      <c r="AF37" s="13"/>
      <c r="AG37" s="13"/>
      <c r="AH37" s="13">
        <v>2</v>
      </c>
      <c r="AI37" s="13">
        <v>0</v>
      </c>
      <c r="AJ37" s="13">
        <v>89</v>
      </c>
      <c r="AK37" s="13">
        <v>74.5</v>
      </c>
      <c r="AL37" s="13">
        <v>2</v>
      </c>
      <c r="AM37" s="13">
        <v>0</v>
      </c>
      <c r="AN37" s="13">
        <v>89.5</v>
      </c>
      <c r="AO37" s="13">
        <v>77.5</v>
      </c>
    </row>
    <row r="38" spans="1:41" x14ac:dyDescent="0.2">
      <c r="A38" s="5" t="s">
        <v>203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>
        <v>1</v>
      </c>
      <c r="AI38" s="13">
        <v>0</v>
      </c>
      <c r="AJ38" s="13">
        <v>82</v>
      </c>
      <c r="AK38" s="13">
        <v>71</v>
      </c>
      <c r="AL38" s="13"/>
      <c r="AM38" s="13"/>
      <c r="AN38" s="13"/>
      <c r="AO38" s="13"/>
    </row>
    <row r="39" spans="1:41" x14ac:dyDescent="0.2">
      <c r="A39" s="5" t="s">
        <v>204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>
        <v>1</v>
      </c>
      <c r="AM39" s="13">
        <v>0</v>
      </c>
      <c r="AN39" s="13">
        <v>95</v>
      </c>
      <c r="AO39" s="13">
        <v>77</v>
      </c>
    </row>
  </sheetData>
  <mergeCells count="10">
    <mergeCell ref="AH1:AK1"/>
    <mergeCell ref="B1:E1"/>
    <mergeCell ref="F1:I1"/>
    <mergeCell ref="R1:U1"/>
    <mergeCell ref="AL1:AO1"/>
    <mergeCell ref="N1:Q1"/>
    <mergeCell ref="V1:Y1"/>
    <mergeCell ref="Z1:AC1"/>
    <mergeCell ref="AD1:AG1"/>
    <mergeCell ref="J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8"/>
  <sheetViews>
    <sheetView showGridLines="0" workbookViewId="0"/>
  </sheetViews>
  <sheetFormatPr baseColWidth="10" defaultColWidth="8.83203125" defaultRowHeight="15" x14ac:dyDescent="0.2"/>
  <cols>
    <col min="1" max="1" width="14" customWidth="1"/>
    <col min="2" max="2" width="24" customWidth="1"/>
    <col min="3" max="4" width="12" customWidth="1"/>
    <col min="5" max="5" width="14" customWidth="1"/>
  </cols>
  <sheetData>
    <row r="1" spans="1:5" ht="22" customHeight="1" x14ac:dyDescent="0.2">
      <c r="A1" s="4" t="s">
        <v>205</v>
      </c>
      <c r="B1" s="4" t="s">
        <v>206</v>
      </c>
      <c r="C1" s="4" t="s">
        <v>207</v>
      </c>
      <c r="D1" s="4" t="s">
        <v>6</v>
      </c>
      <c r="E1" s="4" t="s">
        <v>208</v>
      </c>
    </row>
    <row r="2" spans="1:5" x14ac:dyDescent="0.2">
      <c r="A2" s="5" t="s">
        <v>102</v>
      </c>
      <c r="B2" s="5" t="s">
        <v>29</v>
      </c>
      <c r="C2" s="5" t="s">
        <v>209</v>
      </c>
      <c r="D2" s="6" t="s">
        <v>30</v>
      </c>
      <c r="E2" s="6">
        <v>8</v>
      </c>
    </row>
    <row r="3" spans="1:5" x14ac:dyDescent="0.2">
      <c r="A3" s="5" t="s">
        <v>100</v>
      </c>
      <c r="B3" s="5" t="s">
        <v>31</v>
      </c>
      <c r="C3" s="5" t="s">
        <v>210</v>
      </c>
      <c r="D3" s="6" t="s">
        <v>30</v>
      </c>
      <c r="E3" s="6">
        <v>11</v>
      </c>
    </row>
    <row r="4" spans="1:5" x14ac:dyDescent="0.2">
      <c r="A4" s="5" t="s">
        <v>211</v>
      </c>
      <c r="B4" s="5" t="s">
        <v>32</v>
      </c>
      <c r="C4" s="5" t="s">
        <v>212</v>
      </c>
      <c r="D4" s="6" t="s">
        <v>30</v>
      </c>
      <c r="E4" s="6">
        <v>14</v>
      </c>
    </row>
    <row r="5" spans="1:5" x14ac:dyDescent="0.2">
      <c r="A5" s="5" t="s">
        <v>98</v>
      </c>
      <c r="B5" s="5" t="s">
        <v>33</v>
      </c>
      <c r="C5" s="5" t="s">
        <v>213</v>
      </c>
      <c r="D5" s="6" t="s">
        <v>30</v>
      </c>
      <c r="E5" s="6">
        <v>16</v>
      </c>
    </row>
    <row r="6" spans="1:5" x14ac:dyDescent="0.2">
      <c r="A6" s="5" t="s">
        <v>86</v>
      </c>
      <c r="B6" s="5" t="s">
        <v>34</v>
      </c>
      <c r="C6" s="5" t="s">
        <v>214</v>
      </c>
      <c r="D6" s="6" t="s">
        <v>30</v>
      </c>
      <c r="E6" s="6">
        <v>15</v>
      </c>
    </row>
    <row r="7" spans="1:5" x14ac:dyDescent="0.2">
      <c r="A7" s="5" t="s">
        <v>92</v>
      </c>
      <c r="B7" s="5" t="s">
        <v>35</v>
      </c>
      <c r="C7" s="5" t="s">
        <v>215</v>
      </c>
      <c r="D7" s="6" t="s">
        <v>30</v>
      </c>
      <c r="E7" s="6">
        <v>21</v>
      </c>
    </row>
    <row r="8" spans="1:5" x14ac:dyDescent="0.2">
      <c r="A8" s="5" t="s">
        <v>82</v>
      </c>
      <c r="B8" s="5" t="s">
        <v>36</v>
      </c>
      <c r="C8" s="5" t="s">
        <v>216</v>
      </c>
      <c r="D8" s="6" t="s">
        <v>30</v>
      </c>
      <c r="E8" s="6">
        <v>18</v>
      </c>
    </row>
    <row r="9" spans="1:5" x14ac:dyDescent="0.2">
      <c r="A9" s="5" t="s">
        <v>84</v>
      </c>
      <c r="B9" s="5" t="s">
        <v>37</v>
      </c>
      <c r="C9" s="5" t="s">
        <v>217</v>
      </c>
      <c r="D9" s="6" t="s">
        <v>30</v>
      </c>
      <c r="E9" s="6">
        <v>22</v>
      </c>
    </row>
    <row r="10" spans="1:5" x14ac:dyDescent="0.2">
      <c r="A10" s="5" t="s">
        <v>103</v>
      </c>
      <c r="B10" s="5" t="s">
        <v>38</v>
      </c>
      <c r="C10" s="5" t="s">
        <v>218</v>
      </c>
      <c r="D10" s="6" t="s">
        <v>39</v>
      </c>
      <c r="E10" s="6">
        <v>9</v>
      </c>
    </row>
    <row r="11" spans="1:5" x14ac:dyDescent="0.2">
      <c r="A11" s="5" t="s">
        <v>93</v>
      </c>
      <c r="B11" s="5" t="s">
        <v>40</v>
      </c>
      <c r="C11" s="5" t="s">
        <v>219</v>
      </c>
      <c r="D11" s="6" t="s">
        <v>39</v>
      </c>
      <c r="E11" s="6">
        <v>12</v>
      </c>
    </row>
    <row r="12" spans="1:5" x14ac:dyDescent="0.2">
      <c r="A12" s="5" t="s">
        <v>99</v>
      </c>
      <c r="B12" s="5" t="s">
        <v>41</v>
      </c>
      <c r="C12" s="5" t="s">
        <v>220</v>
      </c>
      <c r="D12" s="6" t="s">
        <v>39</v>
      </c>
      <c r="E12" s="6">
        <v>17</v>
      </c>
    </row>
    <row r="13" spans="1:5" x14ac:dyDescent="0.2">
      <c r="A13" s="5" t="s">
        <v>104</v>
      </c>
      <c r="B13" s="5" t="s">
        <v>42</v>
      </c>
      <c r="C13" s="5" t="s">
        <v>221</v>
      </c>
      <c r="D13" s="6" t="s">
        <v>39</v>
      </c>
      <c r="E13" s="6">
        <v>14</v>
      </c>
    </row>
    <row r="14" spans="1:5" x14ac:dyDescent="0.2">
      <c r="A14" s="5" t="s">
        <v>97</v>
      </c>
      <c r="B14" s="5" t="s">
        <v>43</v>
      </c>
      <c r="C14" s="5" t="s">
        <v>222</v>
      </c>
      <c r="D14" s="6" t="s">
        <v>39</v>
      </c>
      <c r="E14" s="6">
        <v>18</v>
      </c>
    </row>
    <row r="15" spans="1:5" x14ac:dyDescent="0.2">
      <c r="A15" s="5" t="s">
        <v>96</v>
      </c>
      <c r="B15" s="5" t="s">
        <v>44</v>
      </c>
      <c r="C15" s="5" t="s">
        <v>223</v>
      </c>
      <c r="D15" s="6" t="s">
        <v>39</v>
      </c>
      <c r="E15" s="6">
        <v>20</v>
      </c>
    </row>
    <row r="16" spans="1:5" x14ac:dyDescent="0.2">
      <c r="A16" s="5" t="s">
        <v>224</v>
      </c>
      <c r="B16" s="5" t="s">
        <v>45</v>
      </c>
      <c r="C16" s="5" t="s">
        <v>225</v>
      </c>
      <c r="D16" s="6" t="s">
        <v>39</v>
      </c>
      <c r="E16" s="6">
        <v>16</v>
      </c>
    </row>
    <row r="17" spans="1:5" x14ac:dyDescent="0.2">
      <c r="A17" s="5" t="s">
        <v>94</v>
      </c>
      <c r="B17" s="5" t="s">
        <v>48</v>
      </c>
      <c r="C17" s="5" t="s">
        <v>226</v>
      </c>
      <c r="D17" s="6" t="s">
        <v>39</v>
      </c>
      <c r="E17" s="6">
        <v>21</v>
      </c>
    </row>
    <row r="18" spans="1:5" x14ac:dyDescent="0.2">
      <c r="A18" s="7" t="s">
        <v>95</v>
      </c>
      <c r="B18" s="7" t="s">
        <v>49</v>
      </c>
      <c r="C18" s="7" t="s">
        <v>227</v>
      </c>
      <c r="D18" s="8" t="s">
        <v>228</v>
      </c>
      <c r="E18" s="8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F1</vt:lpstr>
      <vt:lpstr>F2</vt:lpstr>
      <vt:lpstr>F3</vt:lpstr>
      <vt:lpstr>Match</vt:lpstr>
      <vt:lpstr>Gross_Historial</vt:lpstr>
      <vt:lpstr>Medal_Calc</vt:lpstr>
      <vt:lpstr>Medal_Fechas</vt:lpstr>
      <vt:lpstr>Medal_Consolidado</vt:lpstr>
      <vt:lpstr>Fixture</vt:lpstr>
      <vt:lpstr>Historico</vt:lpstr>
      <vt:lpstr>Jugadores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Benegas</cp:lastModifiedBy>
  <dcterms:created xsi:type="dcterms:W3CDTF">2026-05-11T21:38:15Z</dcterms:created>
  <dcterms:modified xsi:type="dcterms:W3CDTF">2026-05-12T18:21:34Z</dcterms:modified>
</cp:coreProperties>
</file>