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upuestos" sheetId="2" state="visible" r:id="rId4"/>
    <sheet name="Medal" sheetId="3" state="visible" r:id="rId5"/>
    <sheet name="Match" sheetId="4" state="visible" r:id="rId6"/>
    <sheet name="Copa" sheetId="5" state="visible" r:id="rId7"/>
    <sheet name="Gross" sheetId="6" state="visible" r:id="rId8"/>
    <sheet name="F1" sheetId="7" state="visible" r:id="rId9"/>
    <sheet name="F2" sheetId="8" state="visible" r:id="rId10"/>
    <sheet name="F3" sheetId="9" state="visible" r:id="rId11"/>
    <sheet name="F5" sheetId="10" state="visible" r:id="rId12"/>
    <sheet name="F6" sheetId="11" state="visible" r:id="rId13"/>
    <sheet name="F7" sheetId="12" state="visible" r:id="rId14"/>
    <sheet name="F8" sheetId="13" state="visible" r:id="rId15"/>
    <sheet name="Match_Log" sheetId="14" state="visible" r:id="rId16"/>
    <sheet name="Fixture" sheetId="15" state="visible" r:id="rId17"/>
    <sheet name="Jugadores" sheetId="16" state="visible" r:id="rId18"/>
    <sheet name="Historico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W21" authorId="0">
      <text>
        <r>
          <rPr>
            <sz val="10"/>
            <rFont val="Arial"/>
            <family val="2"/>
          </rPr>
          <t xml:space="preserve">Gross cargado sin hoyo por hoyo (dato de data/fechas.json).</t>
        </r>
      </text>
    </comment>
  </commentList>
</comments>
</file>

<file path=xl/sharedStrings.xml><?xml version="1.0" encoding="utf-8"?>
<sst xmlns="http://schemas.openxmlformats.org/spreadsheetml/2006/main" count="1399" uniqueCount="307">
  <si>
    <t xml:space="preserve">MILICIA GOLF TOUR 2026 — Estado del torneo</t>
  </si>
  <si>
    <t xml:space="preserve">Post F8 · camino a la GIRA Punta Cana (F9 ×1,5 y F10 ×2). Todo enlazado a las hojas de cálculo.</t>
  </si>
  <si>
    <t xml:space="preserve">COPA MATCH PLAY</t>
  </si>
  <si>
    <t xml:space="preserve">FINALISTAS PROVISORIOS F10</t>
  </si>
  <si>
    <t xml:space="preserve">La Cele</t>
  </si>
  <si>
    <t xml:space="preserve">Rojo</t>
  </si>
  <si>
    <t xml:space="preserve">Dif hoyos La Cele</t>
  </si>
  <si>
    <t xml:space="preserve">Líder</t>
  </si>
  <si>
    <t xml:space="preserve">MEDAL — TOP 10</t>
  </si>
  <si>
    <t xml:space="preserve">Jugador</t>
  </si>
  <si>
    <t xml:space="preserve">Pts</t>
  </si>
  <si>
    <t xml:space="preserve">MGT 2026 — Supuestos y reglas</t>
  </si>
  <si>
    <t xml:space="preserve">Celdas azules = inputs editables. Fuente: CLAUDE.md del repo (reglas 2026).</t>
  </si>
  <si>
    <t xml:space="preserve">Puesto</t>
  </si>
  <si>
    <t xml:space="preserve">Pts base</t>
  </si>
  <si>
    <t xml:space="preserve">Parámetro</t>
  </si>
  <si>
    <t xml:space="preserve">Valor</t>
  </si>
  <si>
    <t xml:space="preserve">Tope de hdcp del tour</t>
  </si>
  <si>
    <t xml:space="preserve">Multiplicador F1–F8</t>
  </si>
  <si>
    <t xml:space="preserve">Multiplicador F9</t>
  </si>
  <si>
    <t xml:space="preserve">Multiplicador F10</t>
  </si>
  <si>
    <t xml:space="preserve">Pts equipo por match ganado</t>
  </si>
  <si>
    <t xml:space="preserve">Pts equipo por match empatado</t>
  </si>
  <si>
    <t xml:space="preserve">Pts personales fourball (por jugador ganador)</t>
  </si>
  <si>
    <t xml:space="preserve">Pts personales individual (ganador)</t>
  </si>
  <si>
    <t xml:space="preserve">Multa por ausencia (USD)</t>
  </si>
  <si>
    <t xml:space="preserve">Tarjetas que cuentan para el Gross</t>
  </si>
  <si>
    <t xml:space="preserve">• Empates en el Medal: se suman los pts de los puestos ocupados y se reparten en partes iguales (redondeo a entero, igual que la web).</t>
  </si>
  <si>
    <t xml:space="preserve">• Todos los que presentaron tarjeta ocupan puesto (oficiales y suplentes). Solo los oficiales acumulan al tour; Gatto, Alejandro acumula en cuadro aparte.</t>
  </si>
  <si>
    <t xml:space="preserve">• Copa Match Play: solo suman los matchs. El Medal no aporta nada a los equipos.</t>
  </si>
  <si>
    <t xml:space="preserve">• Dif de hoyos: se carga en magnitud positiva; el ganador define el signo (perspectiva La Cele).</t>
  </si>
  <si>
    <t xml:space="preserve">• Fechas reprogramadas oficialmente no generan multa (F8, decisión 10-Oct-2026).</t>
  </si>
  <si>
    <t xml:space="preserve">• Hdcp: el "HCP Medal" de la tarjeta del día (depende de las bochas de salida), con tope de 26.</t>
  </si>
  <si>
    <t xml:space="preserve">Medal — acumulado individual</t>
  </si>
  <si>
    <t xml:space="preserve">Pts por fecha tomados de cada hoja FN (columna Acumula). Solo oficiales; Gatto, Alejandro en fila aparte.</t>
  </si>
  <si>
    <t xml:space="preserve">ID</t>
  </si>
  <si>
    <t xml:space="preserve">Equipo</t>
  </si>
  <si>
    <t xml:space="preserve">F1</t>
  </si>
  <si>
    <t xml:space="preserve">F2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</si>
  <si>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</si>
  <si>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</si>
  <si>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</si>
  <si>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</si>
  <si>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</si>
  <si>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</si>
  <si>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F9</t>
  </si>
  <si>
    <t xml:space="preserve">F10</t>
  </si>
  <si>
    <t xml:space="preserve">TOTAL</t>
  </si>
  <si>
    <t xml:space="preserve">Fechas</t>
  </si>
  <si>
    <t xml:space="preserve">Clave orden</t>
  </si>
  <si>
    <t xml:space="preserve">gonzalez</t>
  </si>
  <si>
    <t xml:space="preserve">Gonzalez, Agustín</t>
  </si>
  <si>
    <t xml:space="preserve">LA CELE</t>
  </si>
  <si>
    <t xml:space="preserve">tarasido</t>
  </si>
  <si>
    <t xml:space="preserve">Tarasido, Gonzalo</t>
  </si>
  <si>
    <t xml:space="preserve">zunino</t>
  </si>
  <si>
    <t xml:space="preserve">Zunino, Javier</t>
  </si>
  <si>
    <t xml:space="preserve">basaldua</t>
  </si>
  <si>
    <t xml:space="preserve">Basaldua, Ignacio</t>
  </si>
  <si>
    <t xml:space="preserve">pannullo</t>
  </si>
  <si>
    <t xml:space="preserve">Pannullo, Martín</t>
  </si>
  <si>
    <t xml:space="preserve">benegas</t>
  </si>
  <si>
    <t xml:space="preserve">Benegas, Francisco</t>
  </si>
  <si>
    <t xml:space="preserve">guevara</t>
  </si>
  <si>
    <t xml:space="preserve">Guevara, Francisco</t>
  </si>
  <si>
    <t xml:space="preserve">dipaola</t>
  </si>
  <si>
    <t xml:space="preserve">Dipaola, Martín</t>
  </si>
  <si>
    <t xml:space="preserve">gatto</t>
  </si>
  <si>
    <t xml:space="preserve">Gatto, Mariano</t>
  </si>
  <si>
    <t xml:space="preserve">ROJO</t>
  </si>
  <si>
    <t xml:space="preserve">elizalde</t>
  </si>
  <si>
    <t xml:space="preserve">Elizalde, Juan Pedro</t>
  </si>
  <si>
    <t xml:space="preserve">canonico</t>
  </si>
  <si>
    <t xml:space="preserve">Canónico, Agustín</t>
  </si>
  <si>
    <t xml:space="preserve">vogelius</t>
  </si>
  <si>
    <t xml:space="preserve">Vogelius, Nicolás</t>
  </si>
  <si>
    <t xml:space="preserve">mendez</t>
  </si>
  <si>
    <t xml:space="preserve">Méndez, Gastón</t>
  </si>
  <si>
    <t xml:space="preserve">molinario</t>
  </si>
  <si>
    <t xml:space="preserve">Molinario, Andrés</t>
  </si>
  <si>
    <t xml:space="preserve">scapparone</t>
  </si>
  <si>
    <t xml:space="preserve">Scapparone, Nicolás</t>
  </si>
  <si>
    <t xml:space="preserve">fernandez</t>
  </si>
  <si>
    <t xml:space="preserve">Fernandez, Lucas</t>
  </si>
  <si>
    <t xml:space="preserve">gatto_ale</t>
  </si>
  <si>
    <t xml:space="preserve">Gatto, Alejandro (sup)</t>
  </si>
  <si>
    <t xml:space="preserve">SUP</t>
  </si>
  <si>
    <t xml:space="preserve">RANKING MEDAL (ordenado)</t>
  </si>
  <si>
    <t xml:space="preserve">#</t>
  </si>
  <si>
    <t xml:space="preserve">Total</t>
  </si>
  <si>
    <t xml:space="preserve">Match Play — puntos individuales</t>
  </si>
  <si>
    <t xml:space="preserve">Calculado desde Match_Log. Fourball 0,5 c/u al ganador (0,25 empate); individual 1 / 0,5.</t>
  </si>
  <si>
    <t xml:space="preserve">TOT Pts</t>
  </si>
  <si>
    <t xml:space="preserve">TOT Dif</t>
  </si>
  <si>
    <t xml:space="preserve">Puesto equipo</t>
  </si>
  <si>
    <t xml:space="preserve">FINALISTAS PROVISORIOS F10 (#1 de cada equipo: pts, desempata dif)</t>
  </si>
  <si>
    <t xml:space="preserve">Dif</t>
  </si>
  <si>
    <t xml:space="preserve">Copa Match Play — La Cele vs Rojo</t>
  </si>
  <si>
    <t xml:space="preserve">Solo suman los matchs (Match_Log). La dif de hoyos desempata.</t>
  </si>
  <si>
    <t xml:space="preserve">La Cele — Pts</t>
  </si>
  <si>
    <t xml:space="preserve">Rojo — Pts</t>
  </si>
  <si>
    <t xml:space="preserve">La Cele — Dif hoyos</t>
  </si>
  <si>
    <t xml:space="preserve">Matchs jugados</t>
  </si>
  <si>
    <t xml:space="preserve">Diferencia La Cele (pts)</t>
  </si>
  <si>
    <t xml:space="preserve">Gross — premio al mejor promedio de las mejores 7 tarjetas</t>
  </si>
  <si>
    <t xml:space="preserve">Gross de cada hoja FN. Las columnas 1°–7° toman las mejores tarjetas; el promedio vale como premio solo con 7 o más.</t>
  </si>
  <si>
    <t xml:space="preserve">Tarj.</t>
  </si>
  <si>
    <t xml:space="preserve">1°</t>
  </si>
  <si>
    <t xml:space="preserve">2°</t>
  </si>
  <si>
    <t xml:space="preserve">3°</t>
  </si>
  <si>
    <t xml:space="preserve">4°</t>
  </si>
  <si>
    <t xml:space="preserve">5°</t>
  </si>
  <si>
    <t xml:space="preserve">6°</t>
  </si>
  <si>
    <t xml:space="preserve">7°</t>
  </si>
  <si>
    <t xml:space="preserve">Prom. mejores</t>
  </si>
  <si>
    <t xml:space="preserve">Mejor</t>
  </si>
  <si>
    <t xml:space="preserve">Elegible</t>
  </si>
  <si>
    <t xml:space="preserve">FECHA 1 — 14-mar-2026 — CUBA Fátima</t>
  </si>
  <si>
    <t xml:space="preserve">Organizadores: Gatto + Zunino · Par 72 · Azul = input (golpes, hdcp del día, gross de tarjeta si no hay hoyo por hoyo)</t>
  </si>
  <si>
    <t xml:space="preserve">PAR</t>
  </si>
  <si>
    <t xml:space="preserve">H1</t>
  </si>
  <si>
    <t xml:space="preserve">H2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</si>
  <si>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</si>
  <si>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</si>
  <si>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</si>
  <si>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</si>
  <si>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</si>
  <si>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</si>
  <si>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H9</t>
  </si>
  <si>
    <t xml:space="preserve">H10</t>
  </si>
  <si>
    <t xml:space="preserve">H11</t>
  </si>
  <si>
    <t xml:space="preserve">H12</t>
  </si>
  <si>
    <t xml:space="preserve">H13</t>
  </si>
  <si>
    <t xml:space="preserve">H14</t>
  </si>
  <si>
    <t xml:space="preserve">H15</t>
  </si>
  <si>
    <t xml:space="preserve">H16</t>
  </si>
  <si>
    <t xml:space="preserve">H17</t>
  </si>
  <si>
    <t xml:space="preserve">H18</t>
  </si>
  <si>
    <t xml:space="preserve">Gross</t>
  </si>
  <si>
    <t xml:space="preserve">Gross tarjeta</t>
  </si>
  <si>
    <t xml:space="preserve">Hdcp día</t>
  </si>
  <si>
    <t xml:space="preserve">Hdcp aplic</t>
  </si>
  <si>
    <t xml:space="preserve">Neto</t>
  </si>
  <si>
    <t xml:space="preserve">Pos</t>
  </si>
  <si>
    <t xml:space="preserve">Empat.</t>
  </si>
  <si>
    <t xml:space="preserve">Oficial</t>
  </si>
  <si>
    <t xml:space="preserve">Acumula</t>
  </si>
  <si>
    <t xml:space="preserve">Eagle-</t>
  </si>
  <si>
    <t xml:space="preserve">Birdie</t>
  </si>
  <si>
    <t xml:space="preserve">Par</t>
  </si>
  <si>
    <t xml:space="preserve">Bogey</t>
  </si>
  <si>
    <t xml:space="preserve">Doble+</t>
  </si>
  <si>
    <t xml:space="preserve">ESTADÍSTICAS DE LA FECHA</t>
  </si>
  <si>
    <t xml:space="preserve">Tarjetas</t>
  </si>
  <si>
    <t xml:space="preserve">Gross promedio</t>
  </si>
  <si>
    <t xml:space="preserve">Neto promedio</t>
  </si>
  <si>
    <t xml:space="preserve">Mejor neto</t>
  </si>
  <si>
    <t xml:space="preserve">Mejor gross</t>
  </si>
  <si>
    <t xml:space="preserve">Eagles o mejor</t>
  </si>
  <si>
    <t xml:space="preserve">Birdies</t>
  </si>
  <si>
    <t xml:space="preserve">Pares</t>
  </si>
  <si>
    <t xml:space="preserve">Bogeys</t>
  </si>
  <si>
    <t xml:space="preserve">Dobles o peor</t>
  </si>
  <si>
    <t xml:space="preserve">FECHA 2 — 11 Abr 2026 — CUBA Fátima</t>
  </si>
  <si>
    <t xml:space="preserve">Organizadores:  · Par 72 · Azul = input (golpes, hdcp del día, gross de tarjeta si no hay hoyo por hoyo)</t>
  </si>
  <si>
    <t xml:space="preserve">sup_shaw</t>
  </si>
  <si>
    <t xml:space="preserve">sup_shaw (sup)</t>
  </si>
  <si>
    <t xml:space="preserve">FECHA 3 — 09 May 2026 — SHA Hebraica</t>
  </si>
  <si>
    <t xml:space="preserve">Organizadores: Gonzalez + Tarasido · Par 72 · Azul = input (golpes, hdcp del día, gross de tarjeta si no hay hoyo por hoyo)</t>
  </si>
  <si>
    <t xml:space="preserve">sup_alfonso</t>
  </si>
  <si>
    <t xml:space="preserve">Alfonso, Juan Ignacio (sup)</t>
  </si>
  <si>
    <t xml:space="preserve">FECHA 5 — 04 Jul 2026 — La Orquídea</t>
  </si>
  <si>
    <t xml:space="preserve">Organizadores: Basaldua + Canónico · Par 72 · Azul = input (golpes, hdcp del día, gross de tarjeta si no hay hoyo por hoyo)</t>
  </si>
  <si>
    <t xml:space="preserve">sup_diazdelfino</t>
  </si>
  <si>
    <t xml:space="preserve">Díaz Delfino, Pablo (sup)</t>
  </si>
  <si>
    <t xml:space="preserve">sup_gascon</t>
  </si>
  <si>
    <t xml:space="preserve">Gascon, Alejo (sup)</t>
  </si>
  <si>
    <t xml:space="preserve">FECHA 6 — 08 Ago 2026 — CUBA Fátima</t>
  </si>
  <si>
    <t xml:space="preserve">Organizadores: Guevara + Vogelius · Par 72 · Azul = input (golpes, hdcp del día, gross de tarjeta si no hay hoyo por hoyo)</t>
  </si>
  <si>
    <t xml:space="preserve">FECHA 7 — 12 Sep 2026 — CUBA Fátima</t>
  </si>
  <si>
    <t xml:space="preserve">Organizadores: Scapparone + Benegas · Par 72 · Azul = input (golpes, hdcp del día, gross de tarjeta si no hay hoyo por hoyo)</t>
  </si>
  <si>
    <t xml:space="preserve">hector_gatto</t>
  </si>
  <si>
    <t xml:space="preserve">Gatto, Hector (sup)</t>
  </si>
  <si>
    <t xml:space="preserve">FECHA 8 — 10 Oct 2026 — CUBA Fátima</t>
  </si>
  <si>
    <t xml:space="preserve">Organizadores: Elizalde + Mendez · Par 72 · Azul = input (golpes, hdcp del día, gross de tarjeta si no hay hoyo por hoyo)</t>
  </si>
  <si>
    <t xml:space="preserve">Match Play — registro de matchs</t>
  </si>
  <si>
    <t xml:space="preserve">Un match por fila. Azul = input. Dif hoyos en magnitud positiva; el ganador define el signo.</t>
  </si>
  <si>
    <t xml:space="preserve">Fecha</t>
  </si>
  <si>
    <t xml:space="preserve">Tipo</t>
  </si>
  <si>
    <t xml:space="preserve">La Cele 1</t>
  </si>
  <si>
    <t xml:space="preserve">La Cele 2</t>
  </si>
  <si>
    <t xml:space="preserve">Rojo 1</t>
  </si>
  <si>
    <t xml:space="preserve">Rojo 2</t>
  </si>
  <si>
    <t xml:space="preserve">Ganador</t>
  </si>
  <si>
    <t xml:space="preserve">Dif hoyos</t>
  </si>
  <si>
    <t xml:space="preserve">Pts La Cele</t>
  </si>
  <si>
    <t xml:space="preserve">Pts Rojo</t>
  </si>
  <si>
    <t xml:space="preserve">Dif (La Cele)</t>
  </si>
  <si>
    <t xml:space="preserve">Pts c/u Cele</t>
  </si>
  <si>
    <t xml:space="preserve">Pts c/u Rojo</t>
  </si>
  <si>
    <t xml:space="preserve">fb</t>
  </si>
  <si>
    <t xml:space="preserve">g</t>
  </si>
  <si>
    <t xml:space="preserve">r</t>
  </si>
  <si>
    <t xml:space="preserve">ind</t>
  </si>
  <si>
    <t xml:space="preserve">sup_nissen</t>
  </si>
  <si>
    <t xml:space="preserve">sin_suplente</t>
  </si>
  <si>
    <t xml:space="preserve">empate</t>
  </si>
  <si>
    <t xml:space="preserve">Para cargar F9/F10: agregar filas debajo con el mismo formato (las fórmulas I:M se copian).</t>
  </si>
  <si>
    <t xml:space="preserve">Fixture 2026</t>
  </si>
  <si>
    <t xml:space="preserve">Fuente: data/fixture.json. Estado se actualiza a mano.</t>
  </si>
  <si>
    <t xml:space="preserve">F#</t>
  </si>
  <si>
    <t xml:space="preserve">Cancha</t>
  </si>
  <si>
    <t xml:space="preserve">Modalidad</t>
  </si>
  <si>
    <t xml:space="preserve">Criterio</t>
  </si>
  <si>
    <t xml:space="preserve">Organizadores</t>
  </si>
  <si>
    <t xml:space="preserve">Mult.</t>
  </si>
  <si>
    <t xml:space="preserve">Estado</t>
  </si>
  <si>
    <t xml:space="preserve">14 Mar 2026</t>
  </si>
  <si>
    <t xml:space="preserve">CUBA Fátima</t>
  </si>
  <si>
    <t xml:space="preserve">Fourball 2v2</t>
  </si>
  <si>
    <t xml:space="preserve">Por HDC (1y2)(3y4)(5y6)(7y8)</t>
  </si>
  <si>
    <t xml:space="preserve">Gatto + Zunino</t>
  </si>
  <si>
    <t xml:space="preserve">Jugada</t>
  </si>
  <si>
    <t xml:space="preserve">11 Abr 2026</t>
  </si>
  <si>
    <t xml:space="preserve">100% aleatorio</t>
  </si>
  <si>
    <t xml:space="preserve">Molinario + Dipaola</t>
  </si>
  <si>
    <t xml:space="preserve">09 May 2026</t>
  </si>
  <si>
    <t xml:space="preserve">SHA Hebraica</t>
  </si>
  <si>
    <t xml:space="preserve">Individual 1v1</t>
  </si>
  <si>
    <t xml:space="preserve">Gonzalez + Tarasido</t>
  </si>
  <si>
    <t xml:space="preserve">06 Jun 2026</t>
  </si>
  <si>
    <t xml:space="preserve">Por posición Medal</t>
  </si>
  <si>
    <t xml:space="preserve">Pannullo + Fernandez</t>
  </si>
  <si>
    <t xml:space="preserve">Jugada (solo match — niebla)</t>
  </si>
  <si>
    <t xml:space="preserve">04 Jul 2026</t>
  </si>
  <si>
    <t xml:space="preserve">La Orquídea</t>
  </si>
  <si>
    <t xml:space="preserve">Basaldua + Canónico</t>
  </si>
  <si>
    <t xml:space="preserve">08 Ago 2026</t>
  </si>
  <si>
    <t xml:space="preserve">Guevara + Vogelius</t>
  </si>
  <si>
    <t xml:space="preserve">12 Sep 2026</t>
  </si>
  <si>
    <t xml:space="preserve">Scapparone + Benegas</t>
  </si>
  <si>
    <t xml:space="preserve">10 Oct 2026</t>
  </si>
  <si>
    <t xml:space="preserve">Por posición Match</t>
  </si>
  <si>
    <t xml:space="preserve">Elizalde + Mendez</t>
  </si>
  <si>
    <t xml:space="preserve">Jugada (reprogramada del 03-Oct, sin multas)</t>
  </si>
  <si>
    <t xml:space="preserve">04-09 Nov 2026 (GIRA)</t>
  </si>
  <si>
    <t xml:space="preserve">Punta Cana (GIRA)</t>
  </si>
  <si>
    <t xml:space="preserve">Match inverso (1v8)(2v7)...</t>
  </si>
  <si>
    <t xml:space="preserve">GIRA</t>
  </si>
  <si>
    <t xml:space="preserve">Pendiente</t>
  </si>
  <si>
    <t xml:space="preserve">Individual 1v1 FINAL</t>
  </si>
  <si>
    <t xml:space="preserve">#1 Gris vs #1 Rojo</t>
  </si>
  <si>
    <t xml:space="preserve">Jugadores 2026</t>
  </si>
  <si>
    <t xml:space="preserve">Lista canónica (CLAUDE.md). Oficial = 1 acumula Medal y Match individual.</t>
  </si>
  <si>
    <t xml:space="preserve">Nombre</t>
  </si>
  <si>
    <t xml:space="preserve">Sobrenombre</t>
  </si>
  <si>
    <t xml:space="preserve">Agus</t>
  </si>
  <si>
    <t xml:space="preserve">Gonzalo</t>
  </si>
  <si>
    <t xml:space="preserve">Javi</t>
  </si>
  <si>
    <t xml:space="preserve">Ignacio</t>
  </si>
  <si>
    <t xml:space="preserve">Tincho</t>
  </si>
  <si>
    <t xml:space="preserve">Pancho</t>
  </si>
  <si>
    <t xml:space="preserve">Franki</t>
  </si>
  <si>
    <t xml:space="preserve">Dipa</t>
  </si>
  <si>
    <t xml:space="preserve">Gattait</t>
  </si>
  <si>
    <t xml:space="preserve">Juancho</t>
  </si>
  <si>
    <t xml:space="preserve">Kno</t>
  </si>
  <si>
    <t xml:space="preserve">Nico</t>
  </si>
  <si>
    <t xml:space="preserve">Pato</t>
  </si>
  <si>
    <t xml:space="preserve">Andy</t>
  </si>
  <si>
    <t xml:space="preserve">Lule</t>
  </si>
  <si>
    <t xml:space="preserve">Gatto, Alejandro</t>
  </si>
  <si>
    <t xml:space="preserve">Ale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</si>
  <si>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</si>
  <si>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</si>
  <si>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</si>
  <si>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</si>
  <si>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</si>
  <si>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</si>
  <si>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</si>
  <si>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</si>
  <si>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</si>
  <si>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</si>
  <si>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FJ</t>
  </si>
  <si>
    <t xml:space="preserve">FG</t>
  </si>
  <si>
    <t xml:space="preserve">AG</t>
  </si>
  <si>
    <t xml:space="preserve">AN</t>
  </si>
  <si>
    <t xml:space="preserve">Canónico, Nacho</t>
  </si>
  <si>
    <t xml:space="preserve">Nielsen, Juanchi</t>
  </si>
  <si>
    <t xml:space="preserve">Copello, Santi</t>
  </si>
  <si>
    <t xml:space="preserve">Delger, Martin</t>
  </si>
  <si>
    <t xml:space="preserve">Señorans, Julio</t>
  </si>
  <si>
    <t xml:space="preserve">Sánchez Ricoy, Jorge</t>
  </si>
  <si>
    <t xml:space="preserve">Hack, Federico</t>
  </si>
  <si>
    <t xml:space="preserve">Abreu, Santiago</t>
  </si>
  <si>
    <t xml:space="preserve">Miceli, Julian (INV)</t>
  </si>
  <si>
    <t xml:space="preserve">Miranda, Francisco</t>
  </si>
  <si>
    <t xml:space="preserve">Diaz Andrade, Juampi</t>
  </si>
  <si>
    <t xml:space="preserve">Perez A., Nacho</t>
  </si>
  <si>
    <t xml:space="preserve">Lavalle, Joaquin</t>
  </si>
  <si>
    <t xml:space="preserve">Uribelarrea, Rafael (INV)</t>
  </si>
  <si>
    <t xml:space="preserve">Robles, Juancho</t>
  </si>
  <si>
    <t xml:space="preserve">Alfonso, Juani</t>
  </si>
  <si>
    <t xml:space="preserve">Troncoso, Tati</t>
  </si>
  <si>
    <t xml:space="preserve">Hector, Gatto</t>
  </si>
  <si>
    <t xml:space="preserve">Basaldua, Javier</t>
  </si>
  <si>
    <t xml:space="preserve">Vigil, Tomas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</si>
</sst>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#"/>
    <numFmt numFmtId="166" formatCode="\+#,##0;\-#,##0;0"/>
    <numFmt numFmtId="167" formatCode="#,##0;\-#,##0;\-"/>
    <numFmt numFmtId="168" formatCode="0.00000"/>
    <numFmt numFmtId="169" formatCode="0.0#;\-0.0#;\-"/>
    <numFmt numFmtId="170" formatCode="\+0.0#;\-0.0#;0"/>
    <numFmt numFmtId="171" formatCode="0.0"/>
    <numFmt numFmtId="172" formatCode="General"/>
    <numFmt numFmtId="173" formatCode="0.0\x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2A4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1"/>
      <color rgb="FFC9A84C"/>
      <name val="Calibri"/>
      <family val="2"/>
      <charset val="1"/>
    </font>
    <font>
      <b val="true"/>
      <sz val="9"/>
      <color rgb="FFC9A84C"/>
      <name val="Calibri"/>
      <family val="2"/>
      <charset val="1"/>
    </font>
    <font>
      <sz val="9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9E6"/>
        <bgColor rgb="FFFFFFFF"/>
      </patternFill>
    </fill>
    <fill>
      <patternFill patternType="solid">
        <fgColor rgb="FFF3EAD2"/>
        <bgColor rgb="FFEEF2F7"/>
      </patternFill>
    </fill>
    <fill>
      <patternFill patternType="solid">
        <fgColor rgb="FFEEF2F7"/>
        <bgColor rgb="FFFFF9E6"/>
      </patternFill>
    </fill>
    <fill>
      <patternFill patternType="solid">
        <fgColor rgb="FF0A1430"/>
        <bgColor rgb="FF1B2A4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D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000000"/>
      </font>
      <fill>
        <patternFill>
          <bgColor rgb="FFFFD7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2E7D32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6C7A8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E8A0A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E6"/>
      <rgbColor rgb="FFEEF2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3EAD2"/>
      <rgbColor rgb="FF99CCFF"/>
      <rgbColor rgb="FFE8A0A0"/>
      <rgbColor rgb="FFCC99FF"/>
      <rgbColor rgb="FFF6C7A8"/>
      <rgbColor rgb="FF3366FF"/>
      <rgbColor rgb="FF33CCCC"/>
      <rgbColor rgb="FF99CC00"/>
      <rgbColor rgb="FFFFD700"/>
      <rgbColor rgb="FFFF9900"/>
      <rgbColor rgb="FFFF6600"/>
      <rgbColor rgb="FF666666"/>
      <rgbColor rgb="FFC9A84C"/>
      <rgbColor rgb="FF003366"/>
      <rgbColor rgb="FF2E7D32"/>
      <rgbColor rgb="FF0A1430"/>
      <rgbColor rgb="FF333300"/>
      <rgbColor rgb="FF993300"/>
      <rgbColor rgb="FF993366"/>
      <rgbColor rgb="FF333399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30"/>
    <col collapsed="false" customWidth="true" hidden="false" outlineLevel="0" max="7" min="6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E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Copa!L5</f>
        <v>24.5</v>
      </c>
      <c r="E5" s="6" t="str">
        <f aca="false">Match!B26</f>
        <v>Guevara, Francisco</v>
      </c>
      <c r="F5" s="5" t="n">
        <f aca="false">Match!D26</f>
        <v>5</v>
      </c>
    </row>
    <row r="6" customFormat="false" ht="15" hidden="false" customHeight="false" outlineLevel="0" collapsed="false">
      <c r="B6" s="4" t="s">
        <v>5</v>
      </c>
      <c r="C6" s="5" t="n">
        <f aca="false">Copa!L6</f>
        <v>17.5</v>
      </c>
      <c r="E6" s="6" t="str">
        <f aca="false">Match!B27</f>
        <v>Molinario, Andrés</v>
      </c>
      <c r="F6" s="5" t="n">
        <f aca="false">Match!D27</f>
        <v>3.5</v>
      </c>
    </row>
    <row r="7" customFormat="false" ht="15" hidden="false" customHeight="false" outlineLevel="0" collapsed="false">
      <c r="B7" s="4" t="s">
        <v>6</v>
      </c>
      <c r="C7" s="7" t="n">
        <f aca="false">Copa!L7</f>
        <v>23</v>
      </c>
    </row>
    <row r="8" customFormat="false" ht="15" hidden="false" customHeight="false" outlineLevel="0" collapsed="false">
      <c r="B8" s="4" t="s">
        <v>7</v>
      </c>
      <c r="C8" s="6" t="str">
        <f aca="false">Copa!B11</f>
        <v>LA CELE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8" t="s">
        <v>9</v>
      </c>
      <c r="C12" s="8" t="s">
        <v>10</v>
      </c>
    </row>
    <row r="13" customFormat="false" ht="15" hidden="false" customHeight="false" outlineLevel="0" collapsed="false">
      <c r="A13" s="9" t="n">
        <v>1</v>
      </c>
      <c r="B13" s="6" t="str">
        <f aca="false">Medal!B26</f>
        <v>Benegas, Francisco</v>
      </c>
      <c r="C13" s="10" t="n">
        <f aca="false">Medal!D26</f>
        <v>1481</v>
      </c>
    </row>
    <row r="14" customFormat="false" ht="15" hidden="false" customHeight="false" outlineLevel="0" collapsed="false">
      <c r="A14" s="9" t="n">
        <v>2</v>
      </c>
      <c r="B14" s="6" t="str">
        <f aca="false">Medal!B27</f>
        <v>Elizalde, Juan Pedro</v>
      </c>
      <c r="C14" s="10" t="n">
        <f aca="false">Medal!D27</f>
        <v>1388</v>
      </c>
    </row>
    <row r="15" customFormat="false" ht="15" hidden="false" customHeight="false" outlineLevel="0" collapsed="false">
      <c r="A15" s="9" t="n">
        <v>3</v>
      </c>
      <c r="B15" s="6" t="str">
        <f aca="false">Medal!B28</f>
        <v>Guevara, Francisco</v>
      </c>
      <c r="C15" s="10" t="n">
        <f aca="false">Medal!D28</f>
        <v>1259</v>
      </c>
    </row>
    <row r="16" customFormat="false" ht="15" hidden="false" customHeight="false" outlineLevel="0" collapsed="false">
      <c r="A16" s="9" t="n">
        <v>4</v>
      </c>
      <c r="B16" s="6" t="str">
        <f aca="false">Medal!B29</f>
        <v>Vogelius, Nicolás</v>
      </c>
      <c r="C16" s="10" t="n">
        <f aca="false">Medal!D29</f>
        <v>1031</v>
      </c>
    </row>
    <row r="17" customFormat="false" ht="15" hidden="false" customHeight="false" outlineLevel="0" collapsed="false">
      <c r="A17" s="9" t="n">
        <v>5</v>
      </c>
      <c r="B17" s="6" t="str">
        <f aca="false">Medal!B30</f>
        <v>Fernandez, Lucas</v>
      </c>
      <c r="C17" s="10" t="n">
        <f aca="false">Medal!D30</f>
        <v>885</v>
      </c>
    </row>
    <row r="18" customFormat="false" ht="15" hidden="false" customHeight="false" outlineLevel="0" collapsed="false">
      <c r="A18" s="9" t="n">
        <v>6</v>
      </c>
      <c r="B18" s="6" t="str">
        <f aca="false">Medal!B31</f>
        <v>Pannullo, Martín</v>
      </c>
      <c r="C18" s="10" t="n">
        <f aca="false">Medal!D31</f>
        <v>868</v>
      </c>
    </row>
    <row r="19" customFormat="false" ht="15" hidden="false" customHeight="false" outlineLevel="0" collapsed="false">
      <c r="A19" s="9" t="n">
        <v>7</v>
      </c>
      <c r="B19" s="6" t="str">
        <f aca="false">Medal!B32</f>
        <v>Gatto, Mariano</v>
      </c>
      <c r="C19" s="10" t="n">
        <f aca="false">Medal!D32</f>
        <v>862</v>
      </c>
    </row>
    <row r="20" customFormat="false" ht="15" hidden="false" customHeight="false" outlineLevel="0" collapsed="false">
      <c r="A20" s="9" t="n">
        <v>8</v>
      </c>
      <c r="B20" s="6" t="str">
        <f aca="false">Medal!B33</f>
        <v>Méndez, Gastón</v>
      </c>
      <c r="C20" s="10" t="n">
        <f aca="false">Medal!D33</f>
        <v>712</v>
      </c>
    </row>
    <row r="21" customFormat="false" ht="15" hidden="false" customHeight="false" outlineLevel="0" collapsed="false">
      <c r="A21" s="9" t="n">
        <v>9</v>
      </c>
      <c r="B21" s="6" t="str">
        <f aca="false">Medal!B34</f>
        <v>Tarasido, Gonzalo</v>
      </c>
      <c r="C21" s="10" t="n">
        <f aca="false">Medal!D34</f>
        <v>653</v>
      </c>
    </row>
    <row r="22" customFormat="false" ht="15" hidden="false" customHeight="false" outlineLevel="0" collapsed="false">
      <c r="A22" s="9" t="n">
        <v>10</v>
      </c>
      <c r="B22" s="6" t="str">
        <f aca="false">Medal!B35</f>
        <v>Dipaola, Martín</v>
      </c>
      <c r="C22" s="10" t="n">
        <f aca="false">Medal!D35</f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4"/>
    <col collapsed="false" customWidth="true" hidden="false" outlineLevel="0" max="4" min="4" style="0" width="4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12</v>
      </c>
    </row>
    <row r="4" customFormat="false" ht="15" hidden="false" customHeight="false" outlineLevel="0" collapsed="false">
      <c r="A4" s="8" t="s">
        <v>13</v>
      </c>
      <c r="B4" s="8" t="s">
        <v>14</v>
      </c>
      <c r="E4" s="8" t="s">
        <v>15</v>
      </c>
      <c r="F4" s="8" t="s">
        <v>16</v>
      </c>
    </row>
    <row r="5" customFormat="false" ht="15" hidden="false" customHeight="false" outlineLevel="0" collapsed="false">
      <c r="A5" s="9" t="n">
        <v>1</v>
      </c>
      <c r="B5" s="11" t="n">
        <v>500</v>
      </c>
      <c r="E5" s="4" t="s">
        <v>17</v>
      </c>
      <c r="F5" s="12" t="n">
        <v>26</v>
      </c>
    </row>
    <row r="6" customFormat="false" ht="15" hidden="false" customHeight="false" outlineLevel="0" collapsed="false">
      <c r="A6" s="9" t="n">
        <v>2</v>
      </c>
      <c r="B6" s="11" t="n">
        <v>300</v>
      </c>
      <c r="E6" s="4" t="s">
        <v>18</v>
      </c>
      <c r="F6" s="12" t="n">
        <v>1</v>
      </c>
    </row>
    <row r="7" customFormat="false" ht="15" hidden="false" customHeight="false" outlineLevel="0" collapsed="false">
      <c r="A7" s="9" t="n">
        <v>3</v>
      </c>
      <c r="B7" s="11" t="n">
        <v>200</v>
      </c>
      <c r="E7" s="4" t="s">
        <v>19</v>
      </c>
      <c r="F7" s="12" t="n">
        <v>1.5</v>
      </c>
    </row>
    <row r="8" customFormat="false" ht="15" hidden="false" customHeight="false" outlineLevel="0" collapsed="false">
      <c r="A8" s="9" t="n">
        <v>4</v>
      </c>
      <c r="B8" s="11" t="n">
        <v>150</v>
      </c>
      <c r="E8" s="4" t="s">
        <v>20</v>
      </c>
      <c r="F8" s="12" t="n">
        <v>2</v>
      </c>
    </row>
    <row r="9" customFormat="false" ht="15" hidden="false" customHeight="false" outlineLevel="0" collapsed="false">
      <c r="A9" s="9" t="n">
        <v>5</v>
      </c>
      <c r="B9" s="11" t="n">
        <v>120</v>
      </c>
      <c r="E9" s="4" t="s">
        <v>21</v>
      </c>
      <c r="F9" s="12" t="n">
        <v>1</v>
      </c>
    </row>
    <row r="10" customFormat="false" ht="15" hidden="false" customHeight="false" outlineLevel="0" collapsed="false">
      <c r="A10" s="9" t="n">
        <v>6</v>
      </c>
      <c r="B10" s="11" t="n">
        <v>100</v>
      </c>
      <c r="E10" s="4" t="s">
        <v>22</v>
      </c>
      <c r="F10" s="12" t="n">
        <v>0.5</v>
      </c>
    </row>
    <row r="11" customFormat="false" ht="15" hidden="false" customHeight="false" outlineLevel="0" collapsed="false">
      <c r="A11" s="9" t="n">
        <v>7</v>
      </c>
      <c r="B11" s="11" t="n">
        <v>90</v>
      </c>
      <c r="E11" s="4" t="s">
        <v>23</v>
      </c>
      <c r="F11" s="12" t="n">
        <v>0.5</v>
      </c>
    </row>
    <row r="12" customFormat="false" ht="15" hidden="false" customHeight="false" outlineLevel="0" collapsed="false">
      <c r="A12" s="9" t="n">
        <v>8</v>
      </c>
      <c r="B12" s="11" t="n">
        <v>80</v>
      </c>
      <c r="E12" s="4" t="s">
        <v>24</v>
      </c>
      <c r="F12" s="12" t="n">
        <v>1</v>
      </c>
    </row>
    <row r="13" customFormat="false" ht="15" hidden="false" customHeight="false" outlineLevel="0" collapsed="false">
      <c r="A13" s="9" t="n">
        <v>9</v>
      </c>
      <c r="B13" s="11" t="n">
        <v>75</v>
      </c>
      <c r="E13" s="4" t="s">
        <v>25</v>
      </c>
      <c r="F13" s="12" t="n">
        <v>12</v>
      </c>
    </row>
    <row r="14" customFormat="false" ht="15" hidden="false" customHeight="false" outlineLevel="0" collapsed="false">
      <c r="A14" s="9" t="n">
        <v>10</v>
      </c>
      <c r="B14" s="11" t="n">
        <v>70</v>
      </c>
      <c r="E14" s="4" t="s">
        <v>26</v>
      </c>
      <c r="F14" s="12" t="n">
        <v>7</v>
      </c>
    </row>
    <row r="15" customFormat="false" ht="15" hidden="false" customHeight="false" outlineLevel="0" collapsed="false">
      <c r="A15" s="9" t="n">
        <v>11</v>
      </c>
      <c r="B15" s="11" t="n">
        <v>20</v>
      </c>
    </row>
    <row r="16" customFormat="false" ht="15" hidden="false" customHeight="false" outlineLevel="0" collapsed="false">
      <c r="A16" s="9" t="n">
        <v>12</v>
      </c>
      <c r="B16" s="11" t="n">
        <v>20</v>
      </c>
      <c r="E16" s="2" t="s">
        <v>27</v>
      </c>
    </row>
    <row r="17" customFormat="false" ht="15" hidden="false" customHeight="false" outlineLevel="0" collapsed="false">
      <c r="A17" s="9" t="n">
        <v>13</v>
      </c>
      <c r="B17" s="11" t="n">
        <v>20</v>
      </c>
      <c r="E17" s="2" t="s">
        <v>28</v>
      </c>
    </row>
    <row r="18" customFormat="false" ht="15" hidden="false" customHeight="false" outlineLevel="0" collapsed="false">
      <c r="A18" s="9" t="n">
        <v>14</v>
      </c>
      <c r="B18" s="11" t="n">
        <v>20</v>
      </c>
      <c r="E18" s="2" t="s">
        <v>29</v>
      </c>
    </row>
    <row r="19" customFormat="false" ht="15" hidden="false" customHeight="false" outlineLevel="0" collapsed="false">
      <c r="A19" s="9" t="n">
        <v>15</v>
      </c>
      <c r="B19" s="11" t="n">
        <v>0</v>
      </c>
      <c r="E19" s="2" t="s">
        <v>30</v>
      </c>
    </row>
    <row r="20" customFormat="false" ht="15" hidden="false" customHeight="false" outlineLevel="0" collapsed="false">
      <c r="A20" s="9" t="n">
        <v>16</v>
      </c>
      <c r="B20" s="11" t="n">
        <v>0</v>
      </c>
      <c r="E20" s="2" t="s">
        <v>31</v>
      </c>
    </row>
    <row r="21" customFormat="false" ht="15" hidden="false" customHeight="false" outlineLevel="0" collapsed="false">
      <c r="A21" s="9" t="n">
        <v>17</v>
      </c>
      <c r="B21" s="11" t="n">
        <v>0</v>
      </c>
      <c r="E21" s="2" t="s">
        <v>32</v>
      </c>
    </row>
    <row r="22" customFormat="false" ht="15" hidden="false" customHeight="false" outlineLevel="0" collapsed="false">
      <c r="A22" s="9" t="n">
        <v>18</v>
      </c>
      <c r="B22" s="11" t="n">
        <v>0</v>
      </c>
    </row>
    <row r="23" customFormat="false" ht="15" hidden="false" customHeight="false" outlineLevel="0" collapsed="false">
      <c r="A23" s="9" t="n">
        <v>19</v>
      </c>
      <c r="B23" s="11" t="n">
        <v>0</v>
      </c>
    </row>
    <row r="24" customFormat="false" ht="15" hidden="false" customHeight="false" outlineLevel="0" collapsed="false">
      <c r="A24" s="9" t="n">
        <v>20</v>
      </c>
      <c r="B24" s="11" t="n">
        <v>0</v>
      </c>
    </row>
    <row r="25" customFormat="false" ht="15" hidden="false" customHeight="false" outlineLevel="0" collapsed="false">
      <c r="A25" s="9" t="n">
        <v>21</v>
      </c>
      <c r="B25" s="11" t="n">
        <v>0</v>
      </c>
    </row>
    <row r="26" customFormat="false" ht="15" hidden="false" customHeight="false" outlineLevel="0" collapsed="false">
      <c r="A26" s="9" t="n">
        <v>22</v>
      </c>
      <c r="B26" s="11" t="n">
        <v>0</v>
      </c>
    </row>
    <row r="27" customFormat="false" ht="15" hidden="false" customHeight="false" outlineLevel="0" collapsed="false">
      <c r="A27" s="9" t="n">
        <v>23</v>
      </c>
      <c r="B27" s="11" t="n">
        <v>0</v>
      </c>
    </row>
    <row r="28" customFormat="false" ht="15" hidden="false" customHeight="false" outlineLevel="0" collapsed="false">
      <c r="A28" s="9" t="n">
        <v>24</v>
      </c>
      <c r="B28" s="1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13" min="4" style="0" width="8"/>
    <col collapsed="false" customWidth="true" hidden="false" outlineLevel="0" max="14" min="14" style="0" width="10"/>
    <col collapsed="false" customWidth="true" hidden="false" outlineLevel="0" max="16" min="15" style="0" width="8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4" customFormat="false" ht="15" hidden="false" customHeight="false" outlineLevel="0" collapsed="false">
      <c r="A4" s="8" t="s">
        <v>35</v>
      </c>
      <c r="B4" s="8" t="s">
        <v>9</v>
      </c>
      <c r="C4" s="8" t="s">
        <v>36</v>
      </c>
      <c r="D4" s="8" t="s">
        <v>37</v>
      </c>
      <c r="E4" s="8" t="s">
        <v>38</v>
      </c>
      <c r="F4" s="8" t="s">
        <v>39</v>
      </c>
      <c r="G4" s="8" t="s">
        <v>40</v>
      </c>
      <c r="H4" s="8" t="s">
        <v>41</v>
      </c>
      <c r="I4" s="8" t="s">
        <v>42</v>
      </c>
      <c r="J4" s="8" t="s">
        <v>43</v>
      </c>
      <c r="K4" s="8" t="s">
        <v>44</v>
      </c>
      <c r="L4" s="8" t="s">
        <v>45</v>
      </c>
      <c r="M4" s="8" t="s">
        <v>46</v>
      </c>
      <c r="N4" s="8" t="s">
        <v>47</v>
      </c>
      <c r="O4" s="8" t="s">
        <v>13</v>
      </c>
      <c r="P4" s="8" t="s">
        <v>48</v>
      </c>
      <c r="Q4" s="8" t="s">
        <v>49</v>
      </c>
    </row>
    <row r="5" customFormat="false" ht="15" hidden="false" customHeight="false" outlineLevel="0" collapsed="false">
      <c r="A5" s="13" t="s">
        <v>50</v>
      </c>
      <c r="B5" s="14" t="s">
        <v>51</v>
      </c>
      <c r="C5" s="15" t="s">
        <v>52</v>
      </c>
      <c r="D5" s="16" t="n">
        <f aca="false">SUMIFS(F1!$AE$6:$AE$21,F1!$A$6:$A$21,$A5)</f>
        <v>20</v>
      </c>
      <c r="E5" s="16" t="n">
        <f aca="false">SUMIFS(F2!$AE$6:$AE$19,F2!$A$6:$A$19,$A5)</f>
        <v>0</v>
      </c>
      <c r="F5" s="16" t="n">
        <f aca="false">SUMIFS(F3!$AE$6:$AE$20,F3!$A$6:$A$20,$A5)</f>
        <v>0</v>
      </c>
      <c r="G5" s="16" t="n">
        <v>0</v>
      </c>
      <c r="H5" s="16" t="n">
        <f aca="false">SUMIFS(F5!$AE$6:$AE$21,F5!$A$6:$A$21,$A5)</f>
        <v>45</v>
      </c>
      <c r="I5" s="16" t="n">
        <f aca="false">SUMIFS(F6!$AE$6:$AE$21,F6!$A$6:$A$21,$A5)</f>
        <v>157</v>
      </c>
      <c r="J5" s="16" t="n">
        <f aca="false">SUMIFS(F7!$AE$6:$AE$21,F7!$A$6:$A$21,$A5)</f>
        <v>0</v>
      </c>
      <c r="K5" s="16" t="n">
        <f aca="false">SUMIFS(F8!$AE$6:$AE$17,F8!$A$6:$A$17,$A5)</f>
        <v>200</v>
      </c>
      <c r="L5" s="16" t="n">
        <v>0</v>
      </c>
      <c r="M5" s="16" t="n">
        <v>0</v>
      </c>
      <c r="N5" s="17" t="n">
        <f aca="false">SUM(D5:M5)</f>
        <v>422</v>
      </c>
      <c r="O5" s="15" t="n">
        <f aca="false">RANK(N5,$N$5:$N$20)</f>
        <v>13</v>
      </c>
      <c r="P5" s="15" t="n">
        <f aca="false">COUNTIFS(F1!$A$6:$A$21,$A5,F1!$Z$6:$Z$21,"&lt;&gt;")+COUNTIFS(F2!$A$6:$A$19,$A5,F2!$Z$6:$Z$19,"&lt;&gt;")+COUNTIFS(F3!$A$6:$A$20,$A5,F3!$Z$6:$Z$20,"&lt;&gt;")+COUNTIFS(F5!$A$6:$A$21,$A5,F5!$Z$6:$Z$21,"&lt;&gt;")+COUNTIFS(F6!$A$6:$A$21,$A5,F6!$Z$6:$Z$21,"&lt;&gt;")+COUNTIFS(F7!$A$6:$A$21,$A5,F7!$Z$6:$Z$21,"&lt;&gt;")+COUNTIFS(F8!$A$6:$A$17,$A5,F8!$Z$6:$Z$17,"&lt;&gt;")</f>
        <v>4</v>
      </c>
      <c r="Q5" s="18" t="n">
        <f aca="false">N5+(100-ROW())/100000</f>
        <v>422.00095</v>
      </c>
    </row>
    <row r="6" customFormat="false" ht="15" hidden="false" customHeight="false" outlineLevel="0" collapsed="false">
      <c r="A6" s="13" t="s">
        <v>53</v>
      </c>
      <c r="B6" s="14" t="s">
        <v>54</v>
      </c>
      <c r="C6" s="15" t="s">
        <v>52</v>
      </c>
      <c r="D6" s="16" t="n">
        <f aca="false">SUMIFS(F1!$AE$6:$AE$21,F1!$A$6:$A$21,$A6)</f>
        <v>73</v>
      </c>
      <c r="E6" s="16" t="n">
        <f aca="false">SUMIFS(F2!$AE$6:$AE$19,F2!$A$6:$A$19,$A6)</f>
        <v>20</v>
      </c>
      <c r="F6" s="16" t="n">
        <f aca="false">SUMIFS(F3!$AE$6:$AE$20,F3!$A$6:$A$20,$A6)</f>
        <v>300</v>
      </c>
      <c r="G6" s="16" t="n">
        <v>0</v>
      </c>
      <c r="H6" s="16" t="n">
        <f aca="false">SUMIFS(F5!$AE$6:$AE$21,F5!$A$6:$A$21,$A6)</f>
        <v>85</v>
      </c>
      <c r="I6" s="16" t="n">
        <f aca="false">SUMIFS(F6!$AE$6:$AE$21,F6!$A$6:$A$21,$A6)</f>
        <v>100</v>
      </c>
      <c r="J6" s="16" t="n">
        <f aca="false">SUMIFS(F7!$AE$6:$AE$21,F7!$A$6:$A$21,$A6)</f>
        <v>75</v>
      </c>
      <c r="K6" s="16" t="n">
        <f aca="false">SUMIFS(F8!$AE$6:$AE$17,F8!$A$6:$A$17,$A6)</f>
        <v>0</v>
      </c>
      <c r="L6" s="16" t="n">
        <v>0</v>
      </c>
      <c r="M6" s="16" t="n">
        <v>0</v>
      </c>
      <c r="N6" s="17" t="n">
        <f aca="false">SUM(D6:M6)</f>
        <v>653</v>
      </c>
      <c r="O6" s="15" t="n">
        <f aca="false">RANK(N6,$N$5:$N$20)</f>
        <v>9</v>
      </c>
      <c r="P6" s="15" t="n">
        <f aca="false">COUNTIFS(F1!$A$6:$A$21,$A6,F1!$Z$6:$Z$21,"&lt;&gt;")+COUNTIFS(F2!$A$6:$A$19,$A6,F2!$Z$6:$Z$19,"&lt;&gt;")+COUNTIFS(F3!$A$6:$A$20,$A6,F3!$Z$6:$Z$20,"&lt;&gt;")+COUNTIFS(F5!$A$6:$A$21,$A6,F5!$Z$6:$Z$21,"&lt;&gt;")+COUNTIFS(F6!$A$6:$A$21,$A6,F6!$Z$6:$Z$21,"&lt;&gt;")+COUNTIFS(F7!$A$6:$A$21,$A6,F7!$Z$6:$Z$21,"&lt;&gt;")+COUNTIFS(F8!$A$6:$A$17,$A6,F8!$Z$6:$Z$17,"&lt;&gt;")</f>
        <v>6</v>
      </c>
      <c r="Q6" s="18" t="n">
        <f aca="false">N6+(100-ROW())/100000</f>
        <v>653.00094</v>
      </c>
    </row>
    <row r="7" customFormat="false" ht="15" hidden="false" customHeight="false" outlineLevel="0" collapsed="false">
      <c r="A7" s="13" t="s">
        <v>55</v>
      </c>
      <c r="B7" s="14" t="s">
        <v>56</v>
      </c>
      <c r="C7" s="15" t="s">
        <v>52</v>
      </c>
      <c r="D7" s="16" t="n">
        <f aca="false">SUMIFS(F1!$AE$6:$AE$21,F1!$A$6:$A$21,$A7)</f>
        <v>95</v>
      </c>
      <c r="E7" s="16" t="n">
        <f aca="false">SUMIFS(F2!$AE$6:$AE$19,F2!$A$6:$A$19,$A7)</f>
        <v>0</v>
      </c>
      <c r="F7" s="16" t="n">
        <f aca="false">SUMIFS(F3!$AE$6:$AE$20,F3!$A$6:$A$20,$A7)</f>
        <v>0</v>
      </c>
      <c r="G7" s="16" t="n">
        <v>0</v>
      </c>
      <c r="H7" s="16" t="n">
        <f aca="false">SUMIFS(F5!$AE$6:$AE$21,F5!$A$6:$A$21,$A7)</f>
        <v>0</v>
      </c>
      <c r="I7" s="16" t="n">
        <f aca="false">SUMIFS(F6!$AE$6:$AE$21,F6!$A$6:$A$21,$A7)</f>
        <v>0</v>
      </c>
      <c r="J7" s="16" t="n">
        <f aca="false">SUMIFS(F7!$AE$6:$AE$21,F7!$A$6:$A$21,$A7)</f>
        <v>0</v>
      </c>
      <c r="K7" s="16" t="n">
        <f aca="false">SUMIFS(F8!$AE$6:$AE$17,F8!$A$6:$A$17,$A7)</f>
        <v>100</v>
      </c>
      <c r="L7" s="16" t="n">
        <v>0</v>
      </c>
      <c r="M7" s="16" t="n">
        <v>0</v>
      </c>
      <c r="N7" s="17" t="n">
        <f aca="false">SUM(D7:M7)</f>
        <v>195</v>
      </c>
      <c r="O7" s="15" t="n">
        <f aca="false">RANK(N7,$N$5:$N$20)</f>
        <v>15</v>
      </c>
      <c r="P7" s="15" t="n">
        <f aca="false">COUNTIFS(F1!$A$6:$A$21,$A7,F1!$Z$6:$Z$21,"&lt;&gt;")+COUNTIFS(F2!$A$6:$A$19,$A7,F2!$Z$6:$Z$19,"&lt;&gt;")+COUNTIFS(F3!$A$6:$A$20,$A7,F3!$Z$6:$Z$20,"&lt;&gt;")+COUNTIFS(F5!$A$6:$A$21,$A7,F5!$Z$6:$Z$21,"&lt;&gt;")+COUNTIFS(F6!$A$6:$A$21,$A7,F6!$Z$6:$Z$21,"&lt;&gt;")+COUNTIFS(F7!$A$6:$A$21,$A7,F7!$Z$6:$Z$21,"&lt;&gt;")+COUNTIFS(F8!$A$6:$A$17,$A7,F8!$Z$6:$Z$17,"&lt;&gt;")</f>
        <v>5</v>
      </c>
      <c r="Q7" s="18" t="n">
        <f aca="false">N7+(100-ROW())/100000</f>
        <v>195.00093</v>
      </c>
    </row>
    <row r="8" customFormat="false" ht="15" hidden="false" customHeight="false" outlineLevel="0" collapsed="false">
      <c r="A8" s="13" t="s">
        <v>57</v>
      </c>
      <c r="B8" s="14" t="s">
        <v>58</v>
      </c>
      <c r="C8" s="15" t="s">
        <v>52</v>
      </c>
      <c r="D8" s="16" t="n">
        <f aca="false">SUMIFS(F1!$AE$6:$AE$21,F1!$A$6:$A$21,$A8)</f>
        <v>20</v>
      </c>
      <c r="E8" s="16" t="n">
        <f aca="false">SUMIFS(F2!$AE$6:$AE$19,F2!$A$6:$A$19,$A8)</f>
        <v>0</v>
      </c>
      <c r="F8" s="16" t="n">
        <f aca="false">SUMIFS(F3!$AE$6:$AE$20,F3!$A$6:$A$20,$A8)</f>
        <v>123</v>
      </c>
      <c r="G8" s="16" t="n">
        <v>0</v>
      </c>
      <c r="H8" s="16" t="n">
        <f aca="false">SUMIFS(F5!$AE$6:$AE$21,F5!$A$6:$A$21,$A8)</f>
        <v>157</v>
      </c>
      <c r="I8" s="16" t="n">
        <f aca="false">SUMIFS(F6!$AE$6:$AE$21,F6!$A$6:$A$21,$A8)</f>
        <v>20</v>
      </c>
      <c r="J8" s="16" t="n">
        <f aca="false">SUMIFS(F7!$AE$6:$AE$21,F7!$A$6:$A$21,$A8)</f>
        <v>150</v>
      </c>
      <c r="K8" s="16" t="n">
        <f aca="false">SUMIFS(F8!$AE$6:$AE$17,F8!$A$6:$A$17,$A8)</f>
        <v>0</v>
      </c>
      <c r="L8" s="16" t="n">
        <v>0</v>
      </c>
      <c r="M8" s="16" t="n">
        <v>0</v>
      </c>
      <c r="N8" s="17" t="n">
        <f aca="false">SUM(D8:M8)</f>
        <v>470</v>
      </c>
      <c r="O8" s="15" t="n">
        <f aca="false">RANK(N8,$N$5:$N$20)</f>
        <v>11</v>
      </c>
      <c r="P8" s="15" t="n">
        <f aca="false">COUNTIFS(F1!$A$6:$A$21,$A8,F1!$Z$6:$Z$21,"&lt;&gt;")+COUNTIFS(F2!$A$6:$A$19,$A8,F2!$Z$6:$Z$19,"&lt;&gt;")+COUNTIFS(F3!$A$6:$A$20,$A8,F3!$Z$6:$Z$20,"&lt;&gt;")+COUNTIFS(F5!$A$6:$A$21,$A8,F5!$Z$6:$Z$21,"&lt;&gt;")+COUNTIFS(F6!$A$6:$A$21,$A8,F6!$Z$6:$Z$21,"&lt;&gt;")+COUNTIFS(F7!$A$6:$A$21,$A8,F7!$Z$6:$Z$21,"&lt;&gt;")+COUNTIFS(F8!$A$6:$A$17,$A8,F8!$Z$6:$Z$17,"&lt;&gt;")</f>
        <v>5</v>
      </c>
      <c r="Q8" s="18" t="n">
        <f aca="false">N8+(100-ROW())/100000</f>
        <v>470.00092</v>
      </c>
    </row>
    <row r="9" customFormat="false" ht="15" hidden="false" customHeight="false" outlineLevel="0" collapsed="false">
      <c r="A9" s="13" t="s">
        <v>59</v>
      </c>
      <c r="B9" s="14" t="s">
        <v>60</v>
      </c>
      <c r="C9" s="15" t="s">
        <v>52</v>
      </c>
      <c r="D9" s="16" t="n">
        <f aca="false">SUMIFS(F1!$AE$6:$AE$21,F1!$A$6:$A$21,$A9)</f>
        <v>20</v>
      </c>
      <c r="E9" s="16" t="n">
        <f aca="false">SUMIFS(F2!$AE$6:$AE$19,F2!$A$6:$A$19,$A9)</f>
        <v>70</v>
      </c>
      <c r="F9" s="16" t="n">
        <f aca="false">SUMIFS(F3!$AE$6:$AE$20,F3!$A$6:$A$20,$A9)</f>
        <v>200</v>
      </c>
      <c r="G9" s="16" t="n">
        <v>0</v>
      </c>
      <c r="H9" s="16" t="n">
        <f aca="false">SUMIFS(F5!$AE$6:$AE$21,F5!$A$6:$A$21,$A9)</f>
        <v>0</v>
      </c>
      <c r="I9" s="16" t="n">
        <f aca="false">SUMIFS(F6!$AE$6:$AE$21,F6!$A$6:$A$21,$A9)</f>
        <v>78</v>
      </c>
      <c r="J9" s="16" t="n">
        <f aca="false">SUMIFS(F7!$AE$6:$AE$21,F7!$A$6:$A$21,$A9)</f>
        <v>0</v>
      </c>
      <c r="K9" s="16" t="n">
        <f aca="false">SUMIFS(F8!$AE$6:$AE$17,F8!$A$6:$A$17,$A9)</f>
        <v>500</v>
      </c>
      <c r="L9" s="16" t="n">
        <v>0</v>
      </c>
      <c r="M9" s="16" t="n">
        <v>0</v>
      </c>
      <c r="N9" s="17" t="n">
        <f aca="false">SUM(D9:M9)</f>
        <v>868</v>
      </c>
      <c r="O9" s="15" t="n">
        <f aca="false">RANK(N9,$N$5:$N$20)</f>
        <v>6</v>
      </c>
      <c r="P9" s="15" t="n">
        <f aca="false">COUNTIFS(F1!$A$6:$A$21,$A9,F1!$Z$6:$Z$21,"&lt;&gt;")+COUNTIFS(F2!$A$6:$A$19,$A9,F2!$Z$6:$Z$19,"&lt;&gt;")+COUNTIFS(F3!$A$6:$A$20,$A9,F3!$Z$6:$Z$20,"&lt;&gt;")+COUNTIFS(F5!$A$6:$A$21,$A9,F5!$Z$6:$Z$21,"&lt;&gt;")+COUNTIFS(F6!$A$6:$A$21,$A9,F6!$Z$6:$Z$21,"&lt;&gt;")+COUNTIFS(F7!$A$6:$A$21,$A9,F7!$Z$6:$Z$21,"&lt;&gt;")+COUNTIFS(F8!$A$6:$A$17,$A9,F8!$Z$6:$Z$17,"&lt;&gt;")</f>
        <v>6</v>
      </c>
      <c r="Q9" s="18" t="n">
        <f aca="false">N9+(100-ROW())/100000</f>
        <v>868.00091</v>
      </c>
    </row>
    <row r="10" customFormat="false" ht="15" hidden="false" customHeight="false" outlineLevel="0" collapsed="false">
      <c r="A10" s="13" t="s">
        <v>61</v>
      </c>
      <c r="B10" s="14" t="s">
        <v>62</v>
      </c>
      <c r="C10" s="15" t="s">
        <v>52</v>
      </c>
      <c r="D10" s="16" t="n">
        <f aca="false">SUMIFS(F1!$AE$6:$AE$21,F1!$A$6:$A$21,$A10)</f>
        <v>0</v>
      </c>
      <c r="E10" s="16" t="n">
        <f aca="false">SUMIFS(F2!$AE$6:$AE$19,F2!$A$6:$A$19,$A10)</f>
        <v>123</v>
      </c>
      <c r="F10" s="16" t="n">
        <f aca="false">SUMIFS(F3!$AE$6:$AE$20,F3!$A$6:$A$20,$A10)</f>
        <v>123</v>
      </c>
      <c r="G10" s="16" t="n">
        <v>0</v>
      </c>
      <c r="H10" s="16" t="n">
        <f aca="false">SUMIFS(F5!$AE$6:$AE$21,F5!$A$6:$A$21,$A10)</f>
        <v>100</v>
      </c>
      <c r="I10" s="16" t="n">
        <f aca="false">SUMIFS(F6!$AE$6:$AE$21,F6!$A$6:$A$21,$A10)</f>
        <v>500</v>
      </c>
      <c r="J10" s="16" t="n">
        <f aca="false">SUMIFS(F7!$AE$6:$AE$21,F7!$A$6:$A$21,$A10)</f>
        <v>500</v>
      </c>
      <c r="K10" s="16" t="n">
        <f aca="false">SUMIFS(F8!$AE$6:$AE$17,F8!$A$6:$A$17,$A10)</f>
        <v>135</v>
      </c>
      <c r="L10" s="16" t="n">
        <v>0</v>
      </c>
      <c r="M10" s="16" t="n">
        <v>0</v>
      </c>
      <c r="N10" s="17" t="n">
        <f aca="false">SUM(D10:M10)</f>
        <v>1481</v>
      </c>
      <c r="O10" s="15" t="n">
        <f aca="false">RANK(N10,$N$5:$N$20)</f>
        <v>1</v>
      </c>
      <c r="P10" s="15" t="n">
        <f aca="false">COUNTIFS(F1!$A$6:$A$21,$A10,F1!$Z$6:$Z$21,"&lt;&gt;")+COUNTIFS(F2!$A$6:$A$19,$A10,F2!$Z$6:$Z$19,"&lt;&gt;")+COUNTIFS(F3!$A$6:$A$20,$A10,F3!$Z$6:$Z$20,"&lt;&gt;")+COUNTIFS(F5!$A$6:$A$21,$A10,F5!$Z$6:$Z$21,"&lt;&gt;")+COUNTIFS(F6!$A$6:$A$21,$A10,F6!$Z$6:$Z$21,"&lt;&gt;")+COUNTIFS(F7!$A$6:$A$21,$A10,F7!$Z$6:$Z$21,"&lt;&gt;")+COUNTIFS(F8!$A$6:$A$17,$A10,F8!$Z$6:$Z$17,"&lt;&gt;")</f>
        <v>7</v>
      </c>
      <c r="Q10" s="18" t="n">
        <f aca="false">N10+(100-ROW())/100000</f>
        <v>1481.0009</v>
      </c>
    </row>
    <row r="11" customFormat="false" ht="15" hidden="false" customHeight="false" outlineLevel="0" collapsed="false">
      <c r="A11" s="13" t="s">
        <v>63</v>
      </c>
      <c r="B11" s="14" t="s">
        <v>64</v>
      </c>
      <c r="C11" s="15" t="s">
        <v>52</v>
      </c>
      <c r="D11" s="16" t="n">
        <f aca="false">SUMIFS(F1!$AE$6:$AE$21,F1!$A$6:$A$21,$A11)</f>
        <v>400</v>
      </c>
      <c r="E11" s="16" t="n">
        <f aca="false">SUMIFS(F2!$AE$6:$AE$19,F2!$A$6:$A$19,$A11)</f>
        <v>80</v>
      </c>
      <c r="F11" s="16" t="n">
        <f aca="false">SUMIFS(F3!$AE$6:$AE$20,F3!$A$6:$A$20,$A11)</f>
        <v>80</v>
      </c>
      <c r="G11" s="16" t="n">
        <v>0</v>
      </c>
      <c r="H11" s="16" t="n">
        <f aca="false">SUMIFS(F5!$AE$6:$AE$21,F5!$A$6:$A$21,$A11)</f>
        <v>157</v>
      </c>
      <c r="I11" s="16" t="n">
        <f aca="false">SUMIFS(F6!$AE$6:$AE$21,F6!$A$6:$A$21,$A11)</f>
        <v>157</v>
      </c>
      <c r="J11" s="16" t="n">
        <f aca="false">SUMIFS(F7!$AE$6:$AE$21,F7!$A$6:$A$21,$A11)</f>
        <v>250</v>
      </c>
      <c r="K11" s="16" t="n">
        <f aca="false">SUMIFS(F8!$AE$6:$AE$17,F8!$A$6:$A$17,$A11)</f>
        <v>135</v>
      </c>
      <c r="L11" s="16" t="n">
        <v>0</v>
      </c>
      <c r="M11" s="16" t="n">
        <v>0</v>
      </c>
      <c r="N11" s="17" t="n">
        <f aca="false">SUM(D11:M11)</f>
        <v>1259</v>
      </c>
      <c r="O11" s="15" t="n">
        <f aca="false">RANK(N11,$N$5:$N$20)</f>
        <v>3</v>
      </c>
      <c r="P11" s="15" t="n">
        <f aca="false">COUNTIFS(F1!$A$6:$A$21,$A11,F1!$Z$6:$Z$21,"&lt;&gt;")+COUNTIFS(F2!$A$6:$A$19,$A11,F2!$Z$6:$Z$19,"&lt;&gt;")+COUNTIFS(F3!$A$6:$A$20,$A11,F3!$Z$6:$Z$20,"&lt;&gt;")+COUNTIFS(F5!$A$6:$A$21,$A11,F5!$Z$6:$Z$21,"&lt;&gt;")+COUNTIFS(F6!$A$6:$A$21,$A11,F6!$Z$6:$Z$21,"&lt;&gt;")+COUNTIFS(F7!$A$6:$A$21,$A11,F7!$Z$6:$Z$21,"&lt;&gt;")+COUNTIFS(F8!$A$6:$A$17,$A11,F8!$Z$6:$Z$17,"&lt;&gt;")</f>
        <v>7</v>
      </c>
      <c r="Q11" s="18" t="n">
        <f aca="false">N11+(100-ROW())/100000</f>
        <v>1259.00089</v>
      </c>
    </row>
    <row r="12" customFormat="false" ht="15" hidden="false" customHeight="false" outlineLevel="0" collapsed="false">
      <c r="A12" s="13" t="s">
        <v>65</v>
      </c>
      <c r="B12" s="14" t="s">
        <v>66</v>
      </c>
      <c r="C12" s="15" t="s">
        <v>52</v>
      </c>
      <c r="D12" s="16" t="n">
        <f aca="false">SUMIFS(F1!$AE$6:$AE$21,F1!$A$6:$A$21,$A12)</f>
        <v>120</v>
      </c>
      <c r="E12" s="16" t="n">
        <f aca="false">SUMIFS(F2!$AE$6:$AE$19,F2!$A$6:$A$19,$A12)</f>
        <v>123</v>
      </c>
      <c r="F12" s="16" t="n">
        <f aca="false">SUMIFS(F3!$AE$6:$AE$20,F3!$A$6:$A$20,$A12)</f>
        <v>37</v>
      </c>
      <c r="G12" s="16" t="n">
        <v>0</v>
      </c>
      <c r="H12" s="16" t="n">
        <f aca="false">SUMIFS(F5!$AE$6:$AE$21,F5!$A$6:$A$21,$A12)</f>
        <v>20</v>
      </c>
      <c r="I12" s="16" t="n">
        <f aca="false">SUMIFS(F6!$AE$6:$AE$21,F6!$A$6:$A$21,$A12)</f>
        <v>20</v>
      </c>
      <c r="J12" s="16" t="n">
        <f aca="false">SUMIFS(F7!$AE$6:$AE$21,F7!$A$6:$A$21,$A12)</f>
        <v>98</v>
      </c>
      <c r="K12" s="16" t="n">
        <f aca="false">SUMIFS(F8!$AE$6:$AE$17,F8!$A$6:$A$17,$A12)</f>
        <v>78</v>
      </c>
      <c r="L12" s="16" t="n">
        <v>0</v>
      </c>
      <c r="M12" s="16" t="n">
        <v>0</v>
      </c>
      <c r="N12" s="17" t="n">
        <f aca="false">SUM(D12:M12)</f>
        <v>496</v>
      </c>
      <c r="O12" s="15" t="n">
        <f aca="false">RANK(N12,$N$5:$N$20)</f>
        <v>10</v>
      </c>
      <c r="P12" s="15" t="n">
        <f aca="false">COUNTIFS(F1!$A$6:$A$21,$A12,F1!$Z$6:$Z$21,"&lt;&gt;")+COUNTIFS(F2!$A$6:$A$19,$A12,F2!$Z$6:$Z$19,"&lt;&gt;")+COUNTIFS(F3!$A$6:$A$20,$A12,F3!$Z$6:$Z$20,"&lt;&gt;")+COUNTIFS(F5!$A$6:$A$21,$A12,F5!$Z$6:$Z$21,"&lt;&gt;")+COUNTIFS(F6!$A$6:$A$21,$A12,F6!$Z$6:$Z$21,"&lt;&gt;")+COUNTIFS(F7!$A$6:$A$21,$A12,F7!$Z$6:$Z$21,"&lt;&gt;")+COUNTIFS(F8!$A$6:$A$17,$A12,F8!$Z$6:$Z$17,"&lt;&gt;")</f>
        <v>7</v>
      </c>
      <c r="Q12" s="18" t="n">
        <f aca="false">N12+(100-ROW())/100000</f>
        <v>496.00088</v>
      </c>
    </row>
    <row r="13" customFormat="false" ht="15" hidden="false" customHeight="false" outlineLevel="0" collapsed="false">
      <c r="A13" s="13" t="s">
        <v>67</v>
      </c>
      <c r="B13" s="14" t="s">
        <v>68</v>
      </c>
      <c r="C13" s="15" t="s">
        <v>69</v>
      </c>
      <c r="D13" s="16" t="n">
        <f aca="false">SUMIFS(F1!$AE$6:$AE$21,F1!$A$6:$A$21,$A13)</f>
        <v>95</v>
      </c>
      <c r="E13" s="16" t="n">
        <f aca="false">SUMIFS(F2!$AE$6:$AE$19,F2!$A$6:$A$19,$A13)</f>
        <v>500</v>
      </c>
      <c r="F13" s="16" t="n">
        <f aca="false">SUMIFS(F3!$AE$6:$AE$20,F3!$A$6:$A$20,$A13)</f>
        <v>20</v>
      </c>
      <c r="G13" s="16" t="n">
        <v>0</v>
      </c>
      <c r="H13" s="16" t="n">
        <f aca="false">SUMIFS(F5!$AE$6:$AE$21,F5!$A$6:$A$21,$A13)</f>
        <v>157</v>
      </c>
      <c r="I13" s="16" t="n">
        <f aca="false">SUMIFS(F6!$AE$6:$AE$21,F6!$A$6:$A$21,$A13)</f>
        <v>0</v>
      </c>
      <c r="J13" s="16" t="n">
        <f aca="false">SUMIFS(F7!$AE$6:$AE$21,F7!$A$6:$A$21,$A13)</f>
        <v>70</v>
      </c>
      <c r="K13" s="16" t="n">
        <f aca="false">SUMIFS(F8!$AE$6:$AE$17,F8!$A$6:$A$17,$A13)</f>
        <v>20</v>
      </c>
      <c r="L13" s="16" t="n">
        <v>0</v>
      </c>
      <c r="M13" s="16" t="n">
        <v>0</v>
      </c>
      <c r="N13" s="17" t="n">
        <f aca="false">SUM(D13:M13)</f>
        <v>862</v>
      </c>
      <c r="O13" s="15" t="n">
        <f aca="false">RANK(N13,$N$5:$N$20)</f>
        <v>7</v>
      </c>
      <c r="P13" s="15" t="n">
        <f aca="false">COUNTIFS(F1!$A$6:$A$21,$A13,F1!$Z$6:$Z$21,"&lt;&gt;")+COUNTIFS(F2!$A$6:$A$19,$A13,F2!$Z$6:$Z$19,"&lt;&gt;")+COUNTIFS(F3!$A$6:$A$20,$A13,F3!$Z$6:$Z$20,"&lt;&gt;")+COUNTIFS(F5!$A$6:$A$21,$A13,F5!$Z$6:$Z$21,"&lt;&gt;")+COUNTIFS(F6!$A$6:$A$21,$A13,F6!$Z$6:$Z$21,"&lt;&gt;")+COUNTIFS(F7!$A$6:$A$21,$A13,F7!$Z$6:$Z$21,"&lt;&gt;")+COUNTIFS(F8!$A$6:$A$17,$A13,F8!$Z$6:$Z$17,"&lt;&gt;")</f>
        <v>7</v>
      </c>
      <c r="Q13" s="18" t="n">
        <f aca="false">N13+(100-ROW())/100000</f>
        <v>862.00087</v>
      </c>
    </row>
    <row r="14" customFormat="false" ht="15" hidden="false" customHeight="false" outlineLevel="0" collapsed="false">
      <c r="A14" s="13" t="s">
        <v>70</v>
      </c>
      <c r="B14" s="14" t="s">
        <v>71</v>
      </c>
      <c r="C14" s="15" t="s">
        <v>69</v>
      </c>
      <c r="D14" s="16" t="n">
        <f aca="false">SUMIFS(F1!$AE$6:$AE$21,F1!$A$6:$A$21,$A14)</f>
        <v>80</v>
      </c>
      <c r="E14" s="16" t="n">
        <f aca="false">SUMIFS(F2!$AE$6:$AE$19,F2!$A$6:$A$19,$A14)</f>
        <v>250</v>
      </c>
      <c r="F14" s="16" t="n">
        <f aca="false">SUMIFS(F3!$AE$6:$AE$20,F3!$A$6:$A$20,$A14)</f>
        <v>90</v>
      </c>
      <c r="G14" s="16" t="n">
        <v>0</v>
      </c>
      <c r="H14" s="16" t="n">
        <f aca="false">SUMIFS(F5!$AE$6:$AE$21,F5!$A$6:$A$21,$A14)</f>
        <v>500</v>
      </c>
      <c r="I14" s="16" t="n">
        <f aca="false">SUMIFS(F6!$AE$6:$AE$21,F6!$A$6:$A$21,$A14)</f>
        <v>300</v>
      </c>
      <c r="J14" s="16" t="n">
        <f aca="false">SUMIFS(F7!$AE$6:$AE$21,F7!$A$6:$A$21,$A14)</f>
        <v>98</v>
      </c>
      <c r="K14" s="16" t="n">
        <f aca="false">SUMIFS(F8!$AE$6:$AE$17,F8!$A$6:$A$17,$A14)</f>
        <v>70</v>
      </c>
      <c r="L14" s="16" t="n">
        <v>0</v>
      </c>
      <c r="M14" s="16" t="n">
        <v>0</v>
      </c>
      <c r="N14" s="17" t="n">
        <f aca="false">SUM(D14:M14)</f>
        <v>1388</v>
      </c>
      <c r="O14" s="15" t="n">
        <f aca="false">RANK(N14,$N$5:$N$20)</f>
        <v>2</v>
      </c>
      <c r="P14" s="15" t="n">
        <f aca="false">COUNTIFS(F1!$A$6:$A$21,$A14,F1!$Z$6:$Z$21,"&lt;&gt;")+COUNTIFS(F2!$A$6:$A$19,$A14,F2!$Z$6:$Z$19,"&lt;&gt;")+COUNTIFS(F3!$A$6:$A$20,$A14,F3!$Z$6:$Z$20,"&lt;&gt;")+COUNTIFS(F5!$A$6:$A$21,$A14,F5!$Z$6:$Z$21,"&lt;&gt;")+COUNTIFS(F6!$A$6:$A$21,$A14,F6!$Z$6:$Z$21,"&lt;&gt;")+COUNTIFS(F7!$A$6:$A$21,$A14,F7!$Z$6:$Z$21,"&lt;&gt;")+COUNTIFS(F8!$A$6:$A$17,$A14,F8!$Z$6:$Z$17,"&lt;&gt;")</f>
        <v>7</v>
      </c>
      <c r="Q14" s="18" t="n">
        <f aca="false">N14+(100-ROW())/100000</f>
        <v>1388.00086</v>
      </c>
    </row>
    <row r="15" customFormat="false" ht="15" hidden="false" customHeight="false" outlineLevel="0" collapsed="false">
      <c r="A15" s="13" t="s">
        <v>72</v>
      </c>
      <c r="B15" s="14" t="s">
        <v>73</v>
      </c>
      <c r="C15" s="15" t="s">
        <v>69</v>
      </c>
      <c r="D15" s="16" t="n">
        <f aca="false">SUMIFS(F1!$AE$6:$AE$21,F1!$A$6:$A$21,$A15)</f>
        <v>20</v>
      </c>
      <c r="E15" s="16" t="n">
        <f aca="false">SUMIFS(F2!$AE$6:$AE$19,F2!$A$6:$A$19,$A15)</f>
        <v>123</v>
      </c>
      <c r="F15" s="16" t="n">
        <f aca="false">SUMIFS(F3!$AE$6:$AE$20,F3!$A$6:$A$20,$A15)</f>
        <v>75</v>
      </c>
      <c r="G15" s="16" t="n">
        <v>0</v>
      </c>
      <c r="H15" s="16" t="n">
        <f aca="false">SUMIFS(F5!$AE$6:$AE$21,F5!$A$6:$A$21,$A15)</f>
        <v>45</v>
      </c>
      <c r="I15" s="16" t="n">
        <f aca="false">SUMIFS(F6!$AE$6:$AE$21,F6!$A$6:$A$21,$A15)</f>
        <v>78</v>
      </c>
      <c r="J15" s="16" t="n">
        <f aca="false">SUMIFS(F7!$AE$6:$AE$21,F7!$A$6:$A$21,$A15)</f>
        <v>98</v>
      </c>
      <c r="K15" s="16" t="n">
        <f aca="false">SUMIFS(F8!$AE$6:$AE$17,F8!$A$6:$A$17,$A15)</f>
        <v>0</v>
      </c>
      <c r="L15" s="16" t="n">
        <v>0</v>
      </c>
      <c r="M15" s="16" t="n">
        <v>0</v>
      </c>
      <c r="N15" s="17" t="n">
        <f aca="false">SUM(D15:M15)</f>
        <v>439</v>
      </c>
      <c r="O15" s="15" t="n">
        <f aca="false">RANK(N15,$N$5:$N$20)</f>
        <v>12</v>
      </c>
      <c r="P15" s="15" t="n">
        <f aca="false">COUNTIFS(F1!$A$6:$A$21,$A15,F1!$Z$6:$Z$21,"&lt;&gt;")+COUNTIFS(F2!$A$6:$A$19,$A15,F2!$Z$6:$Z$19,"&lt;&gt;")+COUNTIFS(F3!$A$6:$A$20,$A15,F3!$Z$6:$Z$20,"&lt;&gt;")+COUNTIFS(F5!$A$6:$A$21,$A15,F5!$Z$6:$Z$21,"&lt;&gt;")+COUNTIFS(F6!$A$6:$A$21,$A15,F6!$Z$6:$Z$21,"&lt;&gt;")+COUNTIFS(F7!$A$6:$A$21,$A15,F7!$Z$6:$Z$21,"&lt;&gt;")+COUNTIFS(F8!$A$6:$A$17,$A15,F8!$Z$6:$Z$17,"&lt;&gt;")</f>
        <v>6</v>
      </c>
      <c r="Q15" s="18" t="n">
        <f aca="false">N15+(100-ROW())/100000</f>
        <v>439.00085</v>
      </c>
    </row>
    <row r="16" customFormat="false" ht="15" hidden="false" customHeight="false" outlineLevel="0" collapsed="false">
      <c r="A16" s="13" t="s">
        <v>74</v>
      </c>
      <c r="B16" s="14" t="s">
        <v>75</v>
      </c>
      <c r="C16" s="15" t="s">
        <v>69</v>
      </c>
      <c r="D16" s="16" t="n">
        <f aca="false">SUMIFS(F1!$AE$6:$AE$21,F1!$A$6:$A$21,$A16)</f>
        <v>400</v>
      </c>
      <c r="E16" s="16" t="n">
        <f aca="false">SUMIFS(F2!$AE$6:$AE$19,F2!$A$6:$A$19,$A16)</f>
        <v>20</v>
      </c>
      <c r="F16" s="16" t="n">
        <f aca="false">SUMIFS(F3!$AE$6:$AE$20,F3!$A$6:$A$20,$A16)</f>
        <v>123</v>
      </c>
      <c r="G16" s="16" t="n">
        <v>0</v>
      </c>
      <c r="H16" s="16" t="n">
        <f aca="false">SUMIFS(F5!$AE$6:$AE$21,F5!$A$6:$A$21,$A16)</f>
        <v>300</v>
      </c>
      <c r="I16" s="16" t="n">
        <f aca="false">SUMIFS(F6!$AE$6:$AE$21,F6!$A$6:$A$21,$A16)</f>
        <v>90</v>
      </c>
      <c r="J16" s="16" t="n">
        <f aca="false">SUMIFS(F7!$AE$6:$AE$21,F7!$A$6:$A$21,$A16)</f>
        <v>98</v>
      </c>
      <c r="K16" s="16" t="n">
        <f aca="false">SUMIFS(F8!$AE$6:$AE$17,F8!$A$6:$A$17,$A16)</f>
        <v>0</v>
      </c>
      <c r="L16" s="16" t="n">
        <v>0</v>
      </c>
      <c r="M16" s="16" t="n">
        <v>0</v>
      </c>
      <c r="N16" s="17" t="n">
        <f aca="false">SUM(D16:M16)</f>
        <v>1031</v>
      </c>
      <c r="O16" s="15" t="n">
        <f aca="false">RANK(N16,$N$5:$N$20)</f>
        <v>4</v>
      </c>
      <c r="P16" s="15" t="n">
        <f aca="false">COUNTIFS(F1!$A$6:$A$21,$A16,F1!$Z$6:$Z$21,"&lt;&gt;")+COUNTIFS(F2!$A$6:$A$19,$A16,F2!$Z$6:$Z$19,"&lt;&gt;")+COUNTIFS(F3!$A$6:$A$20,$A16,F3!$Z$6:$Z$20,"&lt;&gt;")+COUNTIFS(F5!$A$6:$A$21,$A16,F5!$Z$6:$Z$21,"&lt;&gt;")+COUNTIFS(F6!$A$6:$A$21,$A16,F6!$Z$6:$Z$21,"&lt;&gt;")+COUNTIFS(F7!$A$6:$A$21,$A16,F7!$Z$6:$Z$21,"&lt;&gt;")+COUNTIFS(F8!$A$6:$A$17,$A16,F8!$Z$6:$Z$17,"&lt;&gt;")</f>
        <v>6</v>
      </c>
      <c r="Q16" s="18" t="n">
        <f aca="false">N16+(100-ROW())/100000</f>
        <v>1031.00084</v>
      </c>
    </row>
    <row r="17" customFormat="false" ht="15" hidden="false" customHeight="false" outlineLevel="0" collapsed="false">
      <c r="A17" s="13" t="s">
        <v>76</v>
      </c>
      <c r="B17" s="14" t="s">
        <v>77</v>
      </c>
      <c r="C17" s="15" t="s">
        <v>69</v>
      </c>
      <c r="D17" s="16" t="n">
        <f aca="false">SUMIFS(F1!$AE$6:$AE$21,F1!$A$6:$A$21,$A17)</f>
        <v>175</v>
      </c>
      <c r="E17" s="16" t="n">
        <f aca="false">SUMIFS(F2!$AE$6:$AE$19,F2!$A$6:$A$19,$A17)</f>
        <v>90</v>
      </c>
      <c r="F17" s="16" t="n">
        <f aca="false">SUMIFS(F3!$AE$6:$AE$20,F3!$A$6:$A$20,$A17)</f>
        <v>20</v>
      </c>
      <c r="G17" s="16" t="n">
        <v>0</v>
      </c>
      <c r="H17" s="16" t="n">
        <f aca="false">SUMIFS(F5!$AE$6:$AE$21,F5!$A$6:$A$21,$A17)</f>
        <v>0</v>
      </c>
      <c r="I17" s="16" t="n">
        <f aca="false">SUMIFS(F6!$AE$6:$AE$21,F6!$A$6:$A$21,$A17)</f>
        <v>157</v>
      </c>
      <c r="J17" s="16" t="n">
        <f aca="false">SUMIFS(F7!$AE$6:$AE$21,F7!$A$6:$A$21,$A17)</f>
        <v>250</v>
      </c>
      <c r="K17" s="16" t="n">
        <f aca="false">SUMIFS(F8!$AE$6:$AE$17,F8!$A$6:$A$17,$A17)</f>
        <v>20</v>
      </c>
      <c r="L17" s="16" t="n">
        <v>0</v>
      </c>
      <c r="M17" s="16" t="n">
        <v>0</v>
      </c>
      <c r="N17" s="17" t="n">
        <f aca="false">SUM(D17:M17)</f>
        <v>712</v>
      </c>
      <c r="O17" s="15" t="n">
        <f aca="false">RANK(N17,$N$5:$N$20)</f>
        <v>8</v>
      </c>
      <c r="P17" s="15" t="n">
        <f aca="false">COUNTIFS(F1!$A$6:$A$21,$A17,F1!$Z$6:$Z$21,"&lt;&gt;")+COUNTIFS(F2!$A$6:$A$19,$A17,F2!$Z$6:$Z$19,"&lt;&gt;")+COUNTIFS(F3!$A$6:$A$20,$A17,F3!$Z$6:$Z$20,"&lt;&gt;")+COUNTIFS(F5!$A$6:$A$21,$A17,F5!$Z$6:$Z$21,"&lt;&gt;")+COUNTIFS(F6!$A$6:$A$21,$A17,F6!$Z$6:$Z$21,"&lt;&gt;")+COUNTIFS(F7!$A$6:$A$21,$A17,F7!$Z$6:$Z$21,"&lt;&gt;")+COUNTIFS(F8!$A$6:$A$17,$A17,F8!$Z$6:$Z$17,"&lt;&gt;")</f>
        <v>7</v>
      </c>
      <c r="Q17" s="18" t="n">
        <f aca="false">N17+(100-ROW())/100000</f>
        <v>712.00083</v>
      </c>
    </row>
    <row r="18" customFormat="false" ht="15" hidden="false" customHeight="false" outlineLevel="0" collapsed="false">
      <c r="A18" s="13" t="s">
        <v>78</v>
      </c>
      <c r="B18" s="14" t="s">
        <v>79</v>
      </c>
      <c r="C18" s="15" t="s">
        <v>69</v>
      </c>
      <c r="D18" s="16" t="n">
        <f aca="false">SUMIFS(F1!$AE$6:$AE$21,F1!$A$6:$A$21,$A18)</f>
        <v>175</v>
      </c>
      <c r="E18" s="16" t="n">
        <f aca="false">SUMIFS(F2!$AE$6:$AE$19,F2!$A$6:$A$19,$A18)</f>
        <v>75</v>
      </c>
      <c r="F18" s="16" t="n">
        <f aca="false">SUMIFS(F3!$AE$6:$AE$20,F3!$A$6:$A$20,$A18)</f>
        <v>37</v>
      </c>
      <c r="G18" s="16" t="n">
        <v>0</v>
      </c>
      <c r="H18" s="16" t="n">
        <f aca="false">SUMIFS(F5!$AE$6:$AE$21,F5!$A$6:$A$21,$A18)</f>
        <v>0</v>
      </c>
      <c r="I18" s="16" t="n">
        <f aca="false">SUMIFS(F6!$AE$6:$AE$21,F6!$A$6:$A$21,$A18)</f>
        <v>45</v>
      </c>
      <c r="J18" s="16" t="n">
        <f aca="false">SUMIFS(F7!$AE$6:$AE$21,F7!$A$6:$A$21,$A18)</f>
        <v>0</v>
      </c>
      <c r="K18" s="16" t="n">
        <f aca="false">SUMIFS(F8!$AE$6:$AE$17,F8!$A$6:$A$17,$A18)</f>
        <v>78</v>
      </c>
      <c r="L18" s="16" t="n">
        <v>0</v>
      </c>
      <c r="M18" s="16" t="n">
        <v>0</v>
      </c>
      <c r="N18" s="17" t="n">
        <f aca="false">SUM(D18:M18)</f>
        <v>410</v>
      </c>
      <c r="O18" s="15" t="n">
        <f aca="false">RANK(N18,$N$5:$N$20)</f>
        <v>14</v>
      </c>
      <c r="P18" s="15" t="n">
        <f aca="false">COUNTIFS(F1!$A$6:$A$21,$A18,F1!$Z$6:$Z$21,"&lt;&gt;")+COUNTIFS(F2!$A$6:$A$19,$A18,F2!$Z$6:$Z$19,"&lt;&gt;")+COUNTIFS(F3!$A$6:$A$20,$A18,F3!$Z$6:$Z$20,"&lt;&gt;")+COUNTIFS(F5!$A$6:$A$21,$A18,F5!$Z$6:$Z$21,"&lt;&gt;")+COUNTIFS(F6!$A$6:$A$21,$A18,F6!$Z$6:$Z$21,"&lt;&gt;")+COUNTIFS(F7!$A$6:$A$21,$A18,F7!$Z$6:$Z$21,"&lt;&gt;")+COUNTIFS(F8!$A$6:$A$17,$A18,F8!$Z$6:$Z$17,"&lt;&gt;")</f>
        <v>6</v>
      </c>
      <c r="Q18" s="18" t="n">
        <f aca="false">N18+(100-ROW())/100000</f>
        <v>410.00082</v>
      </c>
    </row>
    <row r="19" customFormat="false" ht="15" hidden="false" customHeight="false" outlineLevel="0" collapsed="false">
      <c r="A19" s="13" t="s">
        <v>80</v>
      </c>
      <c r="B19" s="14" t="s">
        <v>81</v>
      </c>
      <c r="C19" s="15" t="s">
        <v>69</v>
      </c>
      <c r="D19" s="16" t="n">
        <f aca="false">SUMIFS(F1!$AE$6:$AE$21,F1!$A$6:$A$21,$A19)</f>
        <v>73</v>
      </c>
      <c r="E19" s="16" t="n">
        <f aca="false">SUMIFS(F2!$AE$6:$AE$19,F2!$A$6:$A$19,$A19)</f>
        <v>0</v>
      </c>
      <c r="F19" s="16" t="n">
        <f aca="false">SUMIFS(F3!$AE$6:$AE$20,F3!$A$6:$A$20,$A19)</f>
        <v>0</v>
      </c>
      <c r="G19" s="16" t="n">
        <v>0</v>
      </c>
      <c r="H19" s="16" t="n">
        <f aca="false">SUMIFS(F5!$AE$6:$AE$21,F5!$A$6:$A$21,$A19)</f>
        <v>0</v>
      </c>
      <c r="I19" s="16" t="n">
        <f aca="false">SUMIFS(F6!$AE$6:$AE$21,F6!$A$6:$A$21,$A19)</f>
        <v>0</v>
      </c>
      <c r="J19" s="16" t="n">
        <f aca="false">SUMIFS(F7!$AE$6:$AE$21,F7!$A$6:$A$21,$A19)</f>
        <v>20</v>
      </c>
      <c r="K19" s="16" t="n">
        <f aca="false">SUMIFS(F8!$AE$6:$AE$17,F8!$A$6:$A$17,$A19)</f>
        <v>0</v>
      </c>
      <c r="L19" s="16" t="n">
        <v>0</v>
      </c>
      <c r="M19" s="16" t="n">
        <v>0</v>
      </c>
      <c r="N19" s="17" t="n">
        <f aca="false">SUM(D19:M19)</f>
        <v>93</v>
      </c>
      <c r="O19" s="15" t="n">
        <f aca="false">RANK(N19,$N$5:$N$20)</f>
        <v>16</v>
      </c>
      <c r="P19" s="15" t="n">
        <f aca="false">COUNTIFS(F1!$A$6:$A$21,$A19,F1!$Z$6:$Z$21,"&lt;&gt;")+COUNTIFS(F2!$A$6:$A$19,$A19,F2!$Z$6:$Z$19,"&lt;&gt;")+COUNTIFS(F3!$A$6:$A$20,$A19,F3!$Z$6:$Z$20,"&lt;&gt;")+COUNTIFS(F5!$A$6:$A$21,$A19,F5!$Z$6:$Z$21,"&lt;&gt;")+COUNTIFS(F6!$A$6:$A$21,$A19,F6!$Z$6:$Z$21,"&lt;&gt;")+COUNTIFS(F7!$A$6:$A$21,$A19,F7!$Z$6:$Z$21,"&lt;&gt;")+COUNTIFS(F8!$A$6:$A$17,$A19,F8!$Z$6:$Z$17,"&lt;&gt;")</f>
        <v>3</v>
      </c>
      <c r="Q19" s="18" t="n">
        <f aca="false">N19+(100-ROW())/100000</f>
        <v>93.00081</v>
      </c>
    </row>
    <row r="20" customFormat="false" ht="15" hidden="false" customHeight="false" outlineLevel="0" collapsed="false">
      <c r="A20" s="13" t="s">
        <v>82</v>
      </c>
      <c r="B20" s="14" t="s">
        <v>83</v>
      </c>
      <c r="C20" s="15" t="s">
        <v>69</v>
      </c>
      <c r="D20" s="16" t="n">
        <f aca="false">SUMIFS(F1!$AE$6:$AE$21,F1!$A$6:$A$21,$A20)</f>
        <v>0</v>
      </c>
      <c r="E20" s="16" t="n">
        <f aca="false">SUMIFS(F2!$AE$6:$AE$19,F2!$A$6:$A$19,$A20)</f>
        <v>250</v>
      </c>
      <c r="F20" s="16" t="n">
        <f aca="false">SUMIFS(F3!$AE$6:$AE$20,F3!$A$6:$A$20,$A20)</f>
        <v>500</v>
      </c>
      <c r="G20" s="16" t="n">
        <v>0</v>
      </c>
      <c r="H20" s="16" t="n">
        <f aca="false">SUMIFS(F5!$AE$6:$AE$21,F5!$A$6:$A$21,$A20)</f>
        <v>0</v>
      </c>
      <c r="I20" s="16" t="n">
        <f aca="false">SUMIFS(F6!$AE$6:$AE$21,F6!$A$6:$A$21,$A20)</f>
        <v>45</v>
      </c>
      <c r="J20" s="16" t="n">
        <f aca="false">SUMIFS(F7!$AE$6:$AE$21,F7!$A$6:$A$21,$A20)</f>
        <v>0</v>
      </c>
      <c r="K20" s="16" t="n">
        <f aca="false">SUMIFS(F8!$AE$6:$AE$17,F8!$A$6:$A$17,$A20)</f>
        <v>90</v>
      </c>
      <c r="L20" s="16" t="n">
        <v>0</v>
      </c>
      <c r="M20" s="16" t="n">
        <v>0</v>
      </c>
      <c r="N20" s="17" t="n">
        <f aca="false">SUM(D20:M20)</f>
        <v>885</v>
      </c>
      <c r="O20" s="15" t="n">
        <f aca="false">RANK(N20,$N$5:$N$20)</f>
        <v>5</v>
      </c>
      <c r="P20" s="15" t="n">
        <f aca="false">COUNTIFS(F1!$A$6:$A$21,$A20,F1!$Z$6:$Z$21,"&lt;&gt;")+COUNTIFS(F2!$A$6:$A$19,$A20,F2!$Z$6:$Z$19,"&lt;&gt;")+COUNTIFS(F3!$A$6:$A$20,$A20,F3!$Z$6:$Z$20,"&lt;&gt;")+COUNTIFS(F5!$A$6:$A$21,$A20,F5!$Z$6:$Z$21,"&lt;&gt;")+COUNTIFS(F6!$A$6:$A$21,$A20,F6!$Z$6:$Z$21,"&lt;&gt;")+COUNTIFS(F7!$A$6:$A$21,$A20,F7!$Z$6:$Z$21,"&lt;&gt;")+COUNTIFS(F8!$A$6:$A$17,$A20,F8!$Z$6:$Z$17,"&lt;&gt;")</f>
        <v>6</v>
      </c>
      <c r="Q20" s="18" t="n">
        <f aca="false">N20+(100-ROW())/100000</f>
        <v>885.0008</v>
      </c>
    </row>
    <row r="22" customFormat="false" ht="15" hidden="false" customHeight="false" outlineLevel="0" collapsed="false">
      <c r="A22" s="13" t="s">
        <v>84</v>
      </c>
      <c r="B22" s="19" t="s">
        <v>85</v>
      </c>
      <c r="C22" s="15" t="s">
        <v>86</v>
      </c>
      <c r="D22" s="16" t="n">
        <f aca="false">SUMIFS(F1!$AC$6:$AC$21,F1!$A$6:$A$21,$A22)</f>
        <v>0</v>
      </c>
      <c r="E22" s="16" t="n">
        <f aca="false">SUMIFS(F2!$AC$6:$AC$19,F2!$A$6:$A$19,$A22)</f>
        <v>20</v>
      </c>
      <c r="F22" s="16" t="n">
        <f aca="false">SUMIFS(F3!$AC$6:$AC$20,F3!$A$6:$A$20,$A22)</f>
        <v>0</v>
      </c>
      <c r="G22" s="16" t="n">
        <v>0</v>
      </c>
      <c r="H22" s="16" t="n">
        <f aca="false">SUMIFS(F5!$AC$6:$AC$21,F5!$A$6:$A$21,$A22)</f>
        <v>0</v>
      </c>
      <c r="I22" s="16" t="n">
        <f aca="false">SUMIFS(F6!$AC$6:$AC$21,F6!$A$6:$A$21,$A22)</f>
        <v>0</v>
      </c>
      <c r="J22" s="16" t="n">
        <f aca="false">SUMIFS(F7!$AC$6:$AC$21,F7!$A$6:$A$21,$A22)</f>
        <v>0</v>
      </c>
      <c r="K22" s="16" t="n">
        <f aca="false">SUMIFS(F8!$AC$6:$AC$17,F8!$A$6:$A$17,$A22)</f>
        <v>300</v>
      </c>
      <c r="L22" s="16" t="n">
        <v>0</v>
      </c>
      <c r="M22" s="16" t="n">
        <v>0</v>
      </c>
      <c r="N22" s="17" t="n">
        <f aca="false">SUM(D22:M22)</f>
        <v>320</v>
      </c>
      <c r="O22" s="20"/>
      <c r="P22" s="15" t="n">
        <f aca="false">COUNTIFS(F1!$A$6:$A$21,$A22,F1!$Z$6:$Z$21,"&lt;&gt;")+COUNTIFS(F2!$A$6:$A$19,$A22,F2!$Z$6:$Z$19,"&lt;&gt;")+COUNTIFS(F3!$A$6:$A$20,$A22,F3!$Z$6:$Z$20,"&lt;&gt;")+COUNTIFS(F5!$A$6:$A$21,$A22,F5!$Z$6:$Z$21,"&lt;&gt;")+COUNTIFS(F6!$A$6:$A$21,$A22,F6!$Z$6:$Z$21,"&lt;&gt;")+COUNTIFS(F7!$A$6:$A$21,$A22,F7!$Z$6:$Z$21,"&lt;&gt;")+COUNTIFS(F8!$A$6:$A$17,$A22,F8!$Z$6:$Z$17,"&lt;&gt;")</f>
        <v>4</v>
      </c>
    </row>
    <row r="24" customFormat="false" ht="15" hidden="false" customHeight="false" outlineLevel="0" collapsed="false">
      <c r="B24" s="3" t="s">
        <v>87</v>
      </c>
    </row>
    <row r="25" customFormat="false" ht="15" hidden="false" customHeight="false" outlineLevel="0" collapsed="false">
      <c r="A25" s="8" t="s">
        <v>88</v>
      </c>
      <c r="B25" s="8" t="s">
        <v>9</v>
      </c>
      <c r="C25" s="8" t="s">
        <v>36</v>
      </c>
      <c r="D25" s="8" t="s">
        <v>89</v>
      </c>
    </row>
    <row r="26" customFormat="false" ht="15" hidden="false" customHeight="false" outlineLevel="0" collapsed="false">
      <c r="A26" s="9" t="n">
        <v>1</v>
      </c>
      <c r="B26" s="3" t="str">
        <f aca="false">INDEX($B$5:$B$20,MATCH(LARGE($Q$5:$Q$20,1),$Q$5:$Q$20,0))</f>
        <v>Benegas, Francisco</v>
      </c>
      <c r="C26" s="9" t="str">
        <f aca="false">INDEX($C$5:$C$20,MATCH(LARGE($Q$5:$Q$20,1),$Q$5:$Q$20,0))</f>
        <v>LA CELE</v>
      </c>
      <c r="D26" s="21" t="n">
        <f aca="false">INDEX($N$5:$N$20,MATCH(LARGE($Q$5:$Q$20,1),$Q$5:$Q$20,0))</f>
        <v>1481</v>
      </c>
    </row>
    <row r="27" customFormat="false" ht="15" hidden="false" customHeight="false" outlineLevel="0" collapsed="false">
      <c r="A27" s="9" t="n">
        <v>2</v>
      </c>
      <c r="B27" s="3" t="str">
        <f aca="false">INDEX($B$5:$B$20,MATCH(LARGE($Q$5:$Q$20,2),$Q$5:$Q$20,0))</f>
        <v>Elizalde, Juan Pedro</v>
      </c>
      <c r="C27" s="9" t="str">
        <f aca="false">INDEX($C$5:$C$20,MATCH(LARGE($Q$5:$Q$20,2),$Q$5:$Q$20,0))</f>
        <v>ROJO</v>
      </c>
      <c r="D27" s="21" t="n">
        <f aca="false">INDEX($N$5:$N$20,MATCH(LARGE($Q$5:$Q$20,2),$Q$5:$Q$20,0))</f>
        <v>1388</v>
      </c>
    </row>
    <row r="28" customFormat="false" ht="15" hidden="false" customHeight="false" outlineLevel="0" collapsed="false">
      <c r="A28" s="9" t="n">
        <v>3</v>
      </c>
      <c r="B28" s="3" t="str">
        <f aca="false">INDEX($B$5:$B$20,MATCH(LARGE($Q$5:$Q$20,3),$Q$5:$Q$20,0))</f>
        <v>Guevara, Francisco</v>
      </c>
      <c r="C28" s="9" t="str">
        <f aca="false">INDEX($C$5:$C$20,MATCH(LARGE($Q$5:$Q$20,3),$Q$5:$Q$20,0))</f>
        <v>LA CELE</v>
      </c>
      <c r="D28" s="21" t="n">
        <f aca="false">INDEX($N$5:$N$20,MATCH(LARGE($Q$5:$Q$20,3),$Q$5:$Q$20,0))</f>
        <v>1259</v>
      </c>
    </row>
    <row r="29" customFormat="false" ht="15" hidden="false" customHeight="false" outlineLevel="0" collapsed="false">
      <c r="A29" s="9" t="n">
        <v>4</v>
      </c>
      <c r="B29" s="3" t="str">
        <f aca="false">INDEX($B$5:$B$20,MATCH(LARGE($Q$5:$Q$20,4),$Q$5:$Q$20,0))</f>
        <v>Vogelius, Nicolás</v>
      </c>
      <c r="C29" s="9" t="str">
        <f aca="false">INDEX($C$5:$C$20,MATCH(LARGE($Q$5:$Q$20,4),$Q$5:$Q$20,0))</f>
        <v>ROJO</v>
      </c>
      <c r="D29" s="21" t="n">
        <f aca="false">INDEX($N$5:$N$20,MATCH(LARGE($Q$5:$Q$20,4),$Q$5:$Q$20,0))</f>
        <v>1031</v>
      </c>
    </row>
    <row r="30" customFormat="false" ht="15" hidden="false" customHeight="false" outlineLevel="0" collapsed="false">
      <c r="A30" s="9" t="n">
        <v>5</v>
      </c>
      <c r="B30" s="3" t="str">
        <f aca="false">INDEX($B$5:$B$20,MATCH(LARGE($Q$5:$Q$20,5),$Q$5:$Q$20,0))</f>
        <v>Fernandez, Lucas</v>
      </c>
      <c r="C30" s="9" t="str">
        <f aca="false">INDEX($C$5:$C$20,MATCH(LARGE($Q$5:$Q$20,5),$Q$5:$Q$20,0))</f>
        <v>ROJO</v>
      </c>
      <c r="D30" s="21" t="n">
        <f aca="false">INDEX($N$5:$N$20,MATCH(LARGE($Q$5:$Q$20,5),$Q$5:$Q$20,0))</f>
        <v>885</v>
      </c>
    </row>
    <row r="31" customFormat="false" ht="15" hidden="false" customHeight="false" outlineLevel="0" collapsed="false">
      <c r="A31" s="9" t="n">
        <v>6</v>
      </c>
      <c r="B31" s="3" t="str">
        <f aca="false">INDEX($B$5:$B$20,MATCH(LARGE($Q$5:$Q$20,6),$Q$5:$Q$20,0))</f>
        <v>Pannullo, Martín</v>
      </c>
      <c r="C31" s="9" t="str">
        <f aca="false">INDEX($C$5:$C$20,MATCH(LARGE($Q$5:$Q$20,6),$Q$5:$Q$20,0))</f>
        <v>LA CELE</v>
      </c>
      <c r="D31" s="21" t="n">
        <f aca="false">INDEX($N$5:$N$20,MATCH(LARGE($Q$5:$Q$20,6),$Q$5:$Q$20,0))</f>
        <v>868</v>
      </c>
    </row>
    <row r="32" customFormat="false" ht="15" hidden="false" customHeight="false" outlineLevel="0" collapsed="false">
      <c r="A32" s="9" t="n">
        <v>7</v>
      </c>
      <c r="B32" s="3" t="str">
        <f aca="false">INDEX($B$5:$B$20,MATCH(LARGE($Q$5:$Q$20,7),$Q$5:$Q$20,0))</f>
        <v>Gatto, Mariano</v>
      </c>
      <c r="C32" s="9" t="str">
        <f aca="false">INDEX($C$5:$C$20,MATCH(LARGE($Q$5:$Q$20,7),$Q$5:$Q$20,0))</f>
        <v>ROJO</v>
      </c>
      <c r="D32" s="21" t="n">
        <f aca="false">INDEX($N$5:$N$20,MATCH(LARGE($Q$5:$Q$20,7),$Q$5:$Q$20,0))</f>
        <v>862</v>
      </c>
    </row>
    <row r="33" customFormat="false" ht="15" hidden="false" customHeight="false" outlineLevel="0" collapsed="false">
      <c r="A33" s="9" t="n">
        <v>8</v>
      </c>
      <c r="B33" s="3" t="str">
        <f aca="false">INDEX($B$5:$B$20,MATCH(LARGE($Q$5:$Q$20,8),$Q$5:$Q$20,0))</f>
        <v>Méndez, Gastón</v>
      </c>
      <c r="C33" s="9" t="str">
        <f aca="false">INDEX($C$5:$C$20,MATCH(LARGE($Q$5:$Q$20,8),$Q$5:$Q$20,0))</f>
        <v>ROJO</v>
      </c>
      <c r="D33" s="21" t="n">
        <f aca="false">INDEX($N$5:$N$20,MATCH(LARGE($Q$5:$Q$20,8),$Q$5:$Q$20,0))</f>
        <v>712</v>
      </c>
    </row>
    <row r="34" customFormat="false" ht="15" hidden="false" customHeight="false" outlineLevel="0" collapsed="false">
      <c r="A34" s="9" t="n">
        <v>9</v>
      </c>
      <c r="B34" s="3" t="str">
        <f aca="false">INDEX($B$5:$B$20,MATCH(LARGE($Q$5:$Q$20,9),$Q$5:$Q$20,0))</f>
        <v>Tarasido, Gonzalo</v>
      </c>
      <c r="C34" s="9" t="str">
        <f aca="false">INDEX($C$5:$C$20,MATCH(LARGE($Q$5:$Q$20,9),$Q$5:$Q$20,0))</f>
        <v>LA CELE</v>
      </c>
      <c r="D34" s="21" t="n">
        <f aca="false">INDEX($N$5:$N$20,MATCH(LARGE($Q$5:$Q$20,9),$Q$5:$Q$20,0))</f>
        <v>653</v>
      </c>
    </row>
    <row r="35" customFormat="false" ht="15" hidden="false" customHeight="false" outlineLevel="0" collapsed="false">
      <c r="A35" s="9" t="n">
        <v>10</v>
      </c>
      <c r="B35" s="3" t="str">
        <f aca="false">INDEX($B$5:$B$20,MATCH(LARGE($Q$5:$Q$20,10),$Q$5:$Q$20,0))</f>
        <v>Dipaola, Martín</v>
      </c>
      <c r="C35" s="9" t="str">
        <f aca="false">INDEX($C$5:$C$20,MATCH(LARGE($Q$5:$Q$20,10),$Q$5:$Q$20,0))</f>
        <v>LA CELE</v>
      </c>
      <c r="D35" s="21" t="n">
        <f aca="false">INDEX($N$5:$N$20,MATCH(LARGE($Q$5:$Q$20,10),$Q$5:$Q$20,0))</f>
        <v>496</v>
      </c>
    </row>
    <row r="36" customFormat="false" ht="15" hidden="false" customHeight="false" outlineLevel="0" collapsed="false">
      <c r="A36" s="9" t="n">
        <v>11</v>
      </c>
      <c r="B36" s="3" t="str">
        <f aca="false">INDEX($B$5:$B$20,MATCH(LARGE($Q$5:$Q$20,11),$Q$5:$Q$20,0))</f>
        <v>Basaldua, Ignacio</v>
      </c>
      <c r="C36" s="9" t="str">
        <f aca="false">INDEX($C$5:$C$20,MATCH(LARGE($Q$5:$Q$20,11),$Q$5:$Q$20,0))</f>
        <v>LA CELE</v>
      </c>
      <c r="D36" s="21" t="n">
        <f aca="false">INDEX($N$5:$N$20,MATCH(LARGE($Q$5:$Q$20,11),$Q$5:$Q$20,0))</f>
        <v>470</v>
      </c>
    </row>
    <row r="37" customFormat="false" ht="15" hidden="false" customHeight="false" outlineLevel="0" collapsed="false">
      <c r="A37" s="9" t="n">
        <v>12</v>
      </c>
      <c r="B37" s="3" t="str">
        <f aca="false">INDEX($B$5:$B$20,MATCH(LARGE($Q$5:$Q$20,12),$Q$5:$Q$20,0))</f>
        <v>Canónico, Agustín</v>
      </c>
      <c r="C37" s="9" t="str">
        <f aca="false">INDEX($C$5:$C$20,MATCH(LARGE($Q$5:$Q$20,12),$Q$5:$Q$20,0))</f>
        <v>ROJO</v>
      </c>
      <c r="D37" s="21" t="n">
        <f aca="false">INDEX($N$5:$N$20,MATCH(LARGE($Q$5:$Q$20,12),$Q$5:$Q$20,0))</f>
        <v>439</v>
      </c>
    </row>
    <row r="38" customFormat="false" ht="15" hidden="false" customHeight="false" outlineLevel="0" collapsed="false">
      <c r="A38" s="9" t="n">
        <v>13</v>
      </c>
      <c r="B38" s="3" t="str">
        <f aca="false">INDEX($B$5:$B$20,MATCH(LARGE($Q$5:$Q$20,13),$Q$5:$Q$20,0))</f>
        <v>Gonzalez, Agustín</v>
      </c>
      <c r="C38" s="9" t="str">
        <f aca="false">INDEX($C$5:$C$20,MATCH(LARGE($Q$5:$Q$20,13),$Q$5:$Q$20,0))</f>
        <v>LA CELE</v>
      </c>
      <c r="D38" s="21" t="n">
        <f aca="false">INDEX($N$5:$N$20,MATCH(LARGE($Q$5:$Q$20,13),$Q$5:$Q$20,0))</f>
        <v>422</v>
      </c>
    </row>
    <row r="39" customFormat="false" ht="15" hidden="false" customHeight="false" outlineLevel="0" collapsed="false">
      <c r="A39" s="9" t="n">
        <v>14</v>
      </c>
      <c r="B39" s="3" t="str">
        <f aca="false">INDEX($B$5:$B$20,MATCH(LARGE($Q$5:$Q$20,14),$Q$5:$Q$20,0))</f>
        <v>Molinario, Andrés</v>
      </c>
      <c r="C39" s="9" t="str">
        <f aca="false">INDEX($C$5:$C$20,MATCH(LARGE($Q$5:$Q$20,14),$Q$5:$Q$20,0))</f>
        <v>ROJO</v>
      </c>
      <c r="D39" s="21" t="n">
        <f aca="false">INDEX($N$5:$N$20,MATCH(LARGE($Q$5:$Q$20,14),$Q$5:$Q$20,0))</f>
        <v>410</v>
      </c>
    </row>
    <row r="40" customFormat="false" ht="15" hidden="false" customHeight="false" outlineLevel="0" collapsed="false">
      <c r="A40" s="9" t="n">
        <v>15</v>
      </c>
      <c r="B40" s="3" t="str">
        <f aca="false">INDEX($B$5:$B$20,MATCH(LARGE($Q$5:$Q$20,15),$Q$5:$Q$20,0))</f>
        <v>Zunino, Javier</v>
      </c>
      <c r="C40" s="9" t="str">
        <f aca="false">INDEX($C$5:$C$20,MATCH(LARGE($Q$5:$Q$20,15),$Q$5:$Q$20,0))</f>
        <v>LA CELE</v>
      </c>
      <c r="D40" s="21" t="n">
        <f aca="false">INDEX($N$5:$N$20,MATCH(LARGE($Q$5:$Q$20,15),$Q$5:$Q$20,0))</f>
        <v>195</v>
      </c>
    </row>
    <row r="41" customFormat="false" ht="15" hidden="false" customHeight="false" outlineLevel="0" collapsed="false">
      <c r="A41" s="9" t="n">
        <v>16</v>
      </c>
      <c r="B41" s="3" t="str">
        <f aca="false">INDEX($B$5:$B$20,MATCH(LARGE($Q$5:$Q$20,16),$Q$5:$Q$20,0))</f>
        <v>Scapparone, Nicolás</v>
      </c>
      <c r="C41" s="9" t="str">
        <f aca="false">INDEX($C$5:$C$20,MATCH(LARGE($Q$5:$Q$20,16),$Q$5:$Q$20,0))</f>
        <v>ROJO</v>
      </c>
      <c r="D41" s="21" t="n">
        <f aca="false">INDEX($N$5:$N$20,MATCH(LARGE($Q$5:$Q$20,16),$Q$5:$Q$20,0))</f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16" min="4" style="0" width="8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8" t="s">
        <v>35</v>
      </c>
      <c r="B4" s="8" t="s">
        <v>9</v>
      </c>
      <c r="C4" s="8" t="s">
        <v>36</v>
      </c>
      <c r="D4" s="8" t="s">
        <v>37</v>
      </c>
      <c r="E4" s="8" t="s">
        <v>38</v>
      </c>
      <c r="F4" s="8" t="s">
        <v>39</v>
      </c>
      <c r="G4" s="8" t="s">
        <v>40</v>
      </c>
      <c r="H4" s="8" t="s">
        <v>41</v>
      </c>
      <c r="I4" s="8" t="s">
        <v>42</v>
      </c>
      <c r="J4" s="8" t="s">
        <v>43</v>
      </c>
      <c r="K4" s="8" t="s">
        <v>44</v>
      </c>
      <c r="L4" s="8" t="s">
        <v>45</v>
      </c>
      <c r="M4" s="8" t="s">
        <v>46</v>
      </c>
      <c r="N4" s="8" t="s">
        <v>92</v>
      </c>
      <c r="O4" s="8" t="s">
        <v>93</v>
      </c>
      <c r="P4" s="8" t="s">
        <v>94</v>
      </c>
    </row>
    <row r="5" customFormat="false" ht="15" hidden="false" customHeight="false" outlineLevel="0" collapsed="false">
      <c r="A5" s="13" t="s">
        <v>50</v>
      </c>
      <c r="B5" s="14" t="s">
        <v>51</v>
      </c>
      <c r="C5" s="15" t="s">
        <v>52</v>
      </c>
      <c r="D5" s="22" t="n">
        <f aca="false">SUMIFS(Match_Log!$L$5:$L$200,Match_Log!$A$5:$A$200,1,Match_Log!$C$5:$C$200,$A5)+SUMIFS(Match_Log!$L$5:$L$200,Match_Log!$A$5:$A$200,1,Match_Log!$D$5:$D$200,$A5)+SUMIFS(Match_Log!$M$5:$M$200,Match_Log!$A$5:$A$200,1,Match_Log!$E$5:$E$200,$A5)+SUMIFS(Match_Log!$M$5:$M$200,Match_Log!$A$5:$A$200,1,Match_Log!$F$5:$F$200,$A5)</f>
        <v>0</v>
      </c>
      <c r="E5" s="22" t="n">
        <f aca="false">SUMIFS(Match_Log!$L$5:$L$200,Match_Log!$A$5:$A$200,2,Match_Log!$C$5:$C$200,$A5)+SUMIFS(Match_Log!$L$5:$L$200,Match_Log!$A$5:$A$200,2,Match_Log!$D$5:$D$200,$A5)+SUMIFS(Match_Log!$M$5:$M$200,Match_Log!$A$5:$A$200,2,Match_Log!$E$5:$E$200,$A5)+SUMIFS(Match_Log!$M$5:$M$200,Match_Log!$A$5:$A$200,2,Match_Log!$F$5:$F$200,$A5)</f>
        <v>0</v>
      </c>
      <c r="F5" s="22" t="n">
        <f aca="false">SUMIFS(Match_Log!$L$5:$L$200,Match_Log!$A$5:$A$200,3,Match_Log!$C$5:$C$200,$A5)+SUMIFS(Match_Log!$L$5:$L$200,Match_Log!$A$5:$A$200,3,Match_Log!$D$5:$D$200,$A5)+SUMIFS(Match_Log!$M$5:$M$200,Match_Log!$A$5:$A$200,3,Match_Log!$E$5:$E$200,$A5)+SUMIFS(Match_Log!$M$5:$M$200,Match_Log!$A$5:$A$200,3,Match_Log!$F$5:$F$200,$A5)</f>
        <v>0</v>
      </c>
      <c r="G5" s="22" t="n">
        <f aca="false">SUMIFS(Match_Log!$L$5:$L$200,Match_Log!$A$5:$A$200,4,Match_Log!$C$5:$C$200,$A5)+SUMIFS(Match_Log!$L$5:$L$200,Match_Log!$A$5:$A$200,4,Match_Log!$D$5:$D$200,$A5)+SUMIFS(Match_Log!$M$5:$M$200,Match_Log!$A$5:$A$200,4,Match_Log!$E$5:$E$200,$A5)+SUMIFS(Match_Log!$M$5:$M$200,Match_Log!$A$5:$A$200,4,Match_Log!$F$5:$F$200,$A5)</f>
        <v>0</v>
      </c>
      <c r="H5" s="22" t="n">
        <f aca="false">SUMIFS(Match_Log!$L$5:$L$200,Match_Log!$A$5:$A$200,5,Match_Log!$C$5:$C$200,$A5)+SUMIFS(Match_Log!$L$5:$L$200,Match_Log!$A$5:$A$200,5,Match_Log!$D$5:$D$200,$A5)+SUMIFS(Match_Log!$M$5:$M$200,Match_Log!$A$5:$A$200,5,Match_Log!$E$5:$E$200,$A5)+SUMIFS(Match_Log!$M$5:$M$200,Match_Log!$A$5:$A$200,5,Match_Log!$F$5:$F$200,$A5)</f>
        <v>0.5</v>
      </c>
      <c r="I5" s="22" t="n">
        <f aca="false">SUMIFS(Match_Log!$L$5:$L$200,Match_Log!$A$5:$A$200,6,Match_Log!$C$5:$C$200,$A5)+SUMIFS(Match_Log!$L$5:$L$200,Match_Log!$A$5:$A$200,6,Match_Log!$D$5:$D$200,$A5)+SUMIFS(Match_Log!$M$5:$M$200,Match_Log!$A$5:$A$200,6,Match_Log!$E$5:$E$200,$A5)+SUMIFS(Match_Log!$M$5:$M$200,Match_Log!$A$5:$A$200,6,Match_Log!$F$5:$F$200,$A5)</f>
        <v>1</v>
      </c>
      <c r="J5" s="22" t="n">
        <f aca="false">SUMIFS(Match_Log!$L$5:$L$200,Match_Log!$A$5:$A$200,7,Match_Log!$C$5:$C$200,$A5)+SUMIFS(Match_Log!$L$5:$L$200,Match_Log!$A$5:$A$200,7,Match_Log!$D$5:$D$200,$A5)+SUMIFS(Match_Log!$M$5:$M$200,Match_Log!$A$5:$A$200,7,Match_Log!$E$5:$E$200,$A5)+SUMIFS(Match_Log!$M$5:$M$200,Match_Log!$A$5:$A$200,7,Match_Log!$F$5:$F$200,$A5)</f>
        <v>0</v>
      </c>
      <c r="K5" s="22" t="n">
        <f aca="false">SUMIFS(Match_Log!$L$5:$L$200,Match_Log!$A$5:$A$200,8,Match_Log!$C$5:$C$200,$A5)+SUMIFS(Match_Log!$L$5:$L$200,Match_Log!$A$5:$A$200,8,Match_Log!$D$5:$D$200,$A5)+SUMIFS(Match_Log!$M$5:$M$200,Match_Log!$A$5:$A$200,8,Match_Log!$E$5:$E$200,$A5)+SUMIFS(Match_Log!$M$5:$M$200,Match_Log!$A$5:$A$200,8,Match_Log!$F$5:$F$200,$A5)</f>
        <v>1</v>
      </c>
      <c r="L5" s="22" t="n">
        <f aca="false">SUMIFS(Match_Log!$L$5:$L$200,Match_Log!$A$5:$A$200,9,Match_Log!$C$5:$C$200,$A5)+SUMIFS(Match_Log!$L$5:$L$200,Match_Log!$A$5:$A$200,9,Match_Log!$D$5:$D$200,$A5)+SUMIFS(Match_Log!$M$5:$M$200,Match_Log!$A$5:$A$200,9,Match_Log!$E$5:$E$200,$A5)+SUMIFS(Match_Log!$M$5:$M$200,Match_Log!$A$5:$A$200,9,Match_Log!$F$5:$F$200,$A5)</f>
        <v>0</v>
      </c>
      <c r="M5" s="22" t="n">
        <f aca="false">SUMIFS(Match_Log!$L$5:$L$200,Match_Log!$A$5:$A$200,10,Match_Log!$C$5:$C$200,$A5)+SUMIFS(Match_Log!$L$5:$L$200,Match_Log!$A$5:$A$200,10,Match_Log!$D$5:$D$200,$A5)+SUMIFS(Match_Log!$M$5:$M$200,Match_Log!$A$5:$A$200,10,Match_Log!$E$5:$E$200,$A5)+SUMIFS(Match_Log!$M$5:$M$200,Match_Log!$A$5:$A$200,10,Match_Log!$F$5:$F$200,$A5)</f>
        <v>0</v>
      </c>
      <c r="N5" s="23" t="n">
        <f aca="false">SUM(D5:M5)</f>
        <v>2.5</v>
      </c>
      <c r="O5" s="24" t="n">
        <f aca="false">SUMIFS(Match_Log!$K$5:$K$200,Match_Log!$C$5:$C$200,$A5)+SUMIFS(Match_Log!$K$5:$K$200,Match_Log!$D$5:$D$200,$A5)-SUMIFS(Match_Log!$K$5:$K$200,Match_Log!$E$5:$E$200,$A5)-SUMIFS(Match_Log!$K$5:$K$200,Match_Log!$F$5:$F$200,$A5)</f>
        <v>8</v>
      </c>
      <c r="P5" s="15" t="n">
        <f aca="false">COUNTIFS($C$5:$C$20,C5,$N$5:$N$20,"&gt;"&amp;N5)+COUNTIFS($C$5:$C$20,C5,$N$5:$N$20,N5,$O$5:$O$20,"&gt;"&amp;O5)+1</f>
        <v>5</v>
      </c>
    </row>
    <row r="6" customFormat="false" ht="15" hidden="false" customHeight="false" outlineLevel="0" collapsed="false">
      <c r="A6" s="13" t="s">
        <v>53</v>
      </c>
      <c r="B6" s="14" t="s">
        <v>54</v>
      </c>
      <c r="C6" s="15" t="s">
        <v>52</v>
      </c>
      <c r="D6" s="22" t="n">
        <f aca="false">SUMIFS(Match_Log!$L$5:$L$200,Match_Log!$A$5:$A$200,1,Match_Log!$C$5:$C$200,$A6)+SUMIFS(Match_Log!$L$5:$L$200,Match_Log!$A$5:$A$200,1,Match_Log!$D$5:$D$200,$A6)+SUMIFS(Match_Log!$M$5:$M$200,Match_Log!$A$5:$A$200,1,Match_Log!$E$5:$E$200,$A6)+SUMIFS(Match_Log!$M$5:$M$200,Match_Log!$A$5:$A$200,1,Match_Log!$F$5:$F$200,$A6)</f>
        <v>0</v>
      </c>
      <c r="E6" s="22" t="n">
        <f aca="false">SUMIFS(Match_Log!$L$5:$L$200,Match_Log!$A$5:$A$200,2,Match_Log!$C$5:$C$200,$A6)+SUMIFS(Match_Log!$L$5:$L$200,Match_Log!$A$5:$A$200,2,Match_Log!$D$5:$D$200,$A6)+SUMIFS(Match_Log!$M$5:$M$200,Match_Log!$A$5:$A$200,2,Match_Log!$E$5:$E$200,$A6)+SUMIFS(Match_Log!$M$5:$M$200,Match_Log!$A$5:$A$200,2,Match_Log!$F$5:$F$200,$A6)</f>
        <v>0</v>
      </c>
      <c r="F6" s="22" t="n">
        <f aca="false">SUMIFS(Match_Log!$L$5:$L$200,Match_Log!$A$5:$A$200,3,Match_Log!$C$5:$C$200,$A6)+SUMIFS(Match_Log!$L$5:$L$200,Match_Log!$A$5:$A$200,3,Match_Log!$D$5:$D$200,$A6)+SUMIFS(Match_Log!$M$5:$M$200,Match_Log!$A$5:$A$200,3,Match_Log!$E$5:$E$200,$A6)+SUMIFS(Match_Log!$M$5:$M$200,Match_Log!$A$5:$A$200,3,Match_Log!$F$5:$F$200,$A6)</f>
        <v>1</v>
      </c>
      <c r="G6" s="22" t="n">
        <f aca="false">SUMIFS(Match_Log!$L$5:$L$200,Match_Log!$A$5:$A$200,4,Match_Log!$C$5:$C$200,$A6)+SUMIFS(Match_Log!$L$5:$L$200,Match_Log!$A$5:$A$200,4,Match_Log!$D$5:$D$200,$A6)+SUMIFS(Match_Log!$M$5:$M$200,Match_Log!$A$5:$A$200,4,Match_Log!$E$5:$E$200,$A6)+SUMIFS(Match_Log!$M$5:$M$200,Match_Log!$A$5:$A$200,4,Match_Log!$F$5:$F$200,$A6)</f>
        <v>0.5</v>
      </c>
      <c r="H6" s="22" t="n">
        <f aca="false">SUMIFS(Match_Log!$L$5:$L$200,Match_Log!$A$5:$A$200,5,Match_Log!$C$5:$C$200,$A6)+SUMIFS(Match_Log!$L$5:$L$200,Match_Log!$A$5:$A$200,5,Match_Log!$D$5:$D$200,$A6)+SUMIFS(Match_Log!$M$5:$M$200,Match_Log!$A$5:$A$200,5,Match_Log!$E$5:$E$200,$A6)+SUMIFS(Match_Log!$M$5:$M$200,Match_Log!$A$5:$A$200,5,Match_Log!$F$5:$F$200,$A6)</f>
        <v>0</v>
      </c>
      <c r="I6" s="22" t="n">
        <f aca="false">SUMIFS(Match_Log!$L$5:$L$200,Match_Log!$A$5:$A$200,6,Match_Log!$C$5:$C$200,$A6)+SUMIFS(Match_Log!$L$5:$L$200,Match_Log!$A$5:$A$200,6,Match_Log!$D$5:$D$200,$A6)+SUMIFS(Match_Log!$M$5:$M$200,Match_Log!$A$5:$A$200,6,Match_Log!$E$5:$E$200,$A6)+SUMIFS(Match_Log!$M$5:$M$200,Match_Log!$A$5:$A$200,6,Match_Log!$F$5:$F$200,$A6)</f>
        <v>0</v>
      </c>
      <c r="J6" s="22" t="n">
        <f aca="false">SUMIFS(Match_Log!$L$5:$L$200,Match_Log!$A$5:$A$200,7,Match_Log!$C$5:$C$200,$A6)+SUMIFS(Match_Log!$L$5:$L$200,Match_Log!$A$5:$A$200,7,Match_Log!$D$5:$D$200,$A6)+SUMIFS(Match_Log!$M$5:$M$200,Match_Log!$A$5:$A$200,7,Match_Log!$E$5:$E$200,$A6)+SUMIFS(Match_Log!$M$5:$M$200,Match_Log!$A$5:$A$200,7,Match_Log!$F$5:$F$200,$A6)</f>
        <v>0.5</v>
      </c>
      <c r="K6" s="22" t="n">
        <f aca="false">SUMIFS(Match_Log!$L$5:$L$200,Match_Log!$A$5:$A$200,8,Match_Log!$C$5:$C$200,$A6)+SUMIFS(Match_Log!$L$5:$L$200,Match_Log!$A$5:$A$200,8,Match_Log!$D$5:$D$200,$A6)+SUMIFS(Match_Log!$M$5:$M$200,Match_Log!$A$5:$A$200,8,Match_Log!$E$5:$E$200,$A6)+SUMIFS(Match_Log!$M$5:$M$200,Match_Log!$A$5:$A$200,8,Match_Log!$F$5:$F$200,$A6)</f>
        <v>0</v>
      </c>
      <c r="L6" s="22" t="n">
        <f aca="false">SUMIFS(Match_Log!$L$5:$L$200,Match_Log!$A$5:$A$200,9,Match_Log!$C$5:$C$200,$A6)+SUMIFS(Match_Log!$L$5:$L$200,Match_Log!$A$5:$A$200,9,Match_Log!$D$5:$D$200,$A6)+SUMIFS(Match_Log!$M$5:$M$200,Match_Log!$A$5:$A$200,9,Match_Log!$E$5:$E$200,$A6)+SUMIFS(Match_Log!$M$5:$M$200,Match_Log!$A$5:$A$200,9,Match_Log!$F$5:$F$200,$A6)</f>
        <v>0</v>
      </c>
      <c r="M6" s="22" t="n">
        <f aca="false">SUMIFS(Match_Log!$L$5:$L$200,Match_Log!$A$5:$A$200,10,Match_Log!$C$5:$C$200,$A6)+SUMIFS(Match_Log!$L$5:$L$200,Match_Log!$A$5:$A$200,10,Match_Log!$D$5:$D$200,$A6)+SUMIFS(Match_Log!$M$5:$M$200,Match_Log!$A$5:$A$200,10,Match_Log!$E$5:$E$200,$A6)+SUMIFS(Match_Log!$M$5:$M$200,Match_Log!$A$5:$A$200,10,Match_Log!$F$5:$F$200,$A6)</f>
        <v>0</v>
      </c>
      <c r="N6" s="23" t="n">
        <f aca="false">SUM(D6:M6)</f>
        <v>2</v>
      </c>
      <c r="O6" s="24" t="n">
        <f aca="false">SUMIFS(Match_Log!$K$5:$K$200,Match_Log!$C$5:$C$200,$A6)+SUMIFS(Match_Log!$K$5:$K$200,Match_Log!$D$5:$D$200,$A6)-SUMIFS(Match_Log!$K$5:$K$200,Match_Log!$E$5:$E$200,$A6)-SUMIFS(Match_Log!$K$5:$K$200,Match_Log!$F$5:$F$200,$A6)</f>
        <v>1</v>
      </c>
      <c r="P6" s="15" t="n">
        <f aca="false">COUNTIFS($C$5:$C$20,C6,$N$5:$N$20,"&gt;"&amp;N6)+COUNTIFS($C$5:$C$20,C6,$N$5:$N$20,N6,$O$5:$O$20,"&gt;"&amp;O6)+1</f>
        <v>6</v>
      </c>
    </row>
    <row r="7" customFormat="false" ht="15" hidden="false" customHeight="false" outlineLevel="0" collapsed="false">
      <c r="A7" s="13" t="s">
        <v>55</v>
      </c>
      <c r="B7" s="14" t="s">
        <v>56</v>
      </c>
      <c r="C7" s="15" t="s">
        <v>52</v>
      </c>
      <c r="D7" s="22" t="n">
        <f aca="false">SUMIFS(Match_Log!$L$5:$L$200,Match_Log!$A$5:$A$200,1,Match_Log!$C$5:$C$200,$A7)+SUMIFS(Match_Log!$L$5:$L$200,Match_Log!$A$5:$A$200,1,Match_Log!$D$5:$D$200,$A7)+SUMIFS(Match_Log!$M$5:$M$200,Match_Log!$A$5:$A$200,1,Match_Log!$E$5:$E$200,$A7)+SUMIFS(Match_Log!$M$5:$M$200,Match_Log!$A$5:$A$200,1,Match_Log!$F$5:$F$200,$A7)</f>
        <v>0</v>
      </c>
      <c r="E7" s="22" t="n">
        <f aca="false">SUMIFS(Match_Log!$L$5:$L$200,Match_Log!$A$5:$A$200,2,Match_Log!$C$5:$C$200,$A7)+SUMIFS(Match_Log!$L$5:$L$200,Match_Log!$A$5:$A$200,2,Match_Log!$D$5:$D$200,$A7)+SUMIFS(Match_Log!$M$5:$M$200,Match_Log!$A$5:$A$200,2,Match_Log!$E$5:$E$200,$A7)+SUMIFS(Match_Log!$M$5:$M$200,Match_Log!$A$5:$A$200,2,Match_Log!$F$5:$F$200,$A7)</f>
        <v>0</v>
      </c>
      <c r="F7" s="22" t="n">
        <f aca="false">SUMIFS(Match_Log!$L$5:$L$200,Match_Log!$A$5:$A$200,3,Match_Log!$C$5:$C$200,$A7)+SUMIFS(Match_Log!$L$5:$L$200,Match_Log!$A$5:$A$200,3,Match_Log!$D$5:$D$200,$A7)+SUMIFS(Match_Log!$M$5:$M$200,Match_Log!$A$5:$A$200,3,Match_Log!$E$5:$E$200,$A7)+SUMIFS(Match_Log!$M$5:$M$200,Match_Log!$A$5:$A$200,3,Match_Log!$F$5:$F$200,$A7)</f>
        <v>0</v>
      </c>
      <c r="G7" s="22" t="n">
        <f aca="false">SUMIFS(Match_Log!$L$5:$L$200,Match_Log!$A$5:$A$200,4,Match_Log!$C$5:$C$200,$A7)+SUMIFS(Match_Log!$L$5:$L$200,Match_Log!$A$5:$A$200,4,Match_Log!$D$5:$D$200,$A7)+SUMIFS(Match_Log!$M$5:$M$200,Match_Log!$A$5:$A$200,4,Match_Log!$E$5:$E$200,$A7)+SUMIFS(Match_Log!$M$5:$M$200,Match_Log!$A$5:$A$200,4,Match_Log!$F$5:$F$200,$A7)</f>
        <v>0</v>
      </c>
      <c r="H7" s="22" t="n">
        <f aca="false">SUMIFS(Match_Log!$L$5:$L$200,Match_Log!$A$5:$A$200,5,Match_Log!$C$5:$C$200,$A7)+SUMIFS(Match_Log!$L$5:$L$200,Match_Log!$A$5:$A$200,5,Match_Log!$D$5:$D$200,$A7)+SUMIFS(Match_Log!$M$5:$M$200,Match_Log!$A$5:$A$200,5,Match_Log!$E$5:$E$200,$A7)+SUMIFS(Match_Log!$M$5:$M$200,Match_Log!$A$5:$A$200,5,Match_Log!$F$5:$F$200,$A7)</f>
        <v>0.25</v>
      </c>
      <c r="I7" s="22" t="n">
        <f aca="false">SUMIFS(Match_Log!$L$5:$L$200,Match_Log!$A$5:$A$200,6,Match_Log!$C$5:$C$200,$A7)+SUMIFS(Match_Log!$L$5:$L$200,Match_Log!$A$5:$A$200,6,Match_Log!$D$5:$D$200,$A7)+SUMIFS(Match_Log!$M$5:$M$200,Match_Log!$A$5:$A$200,6,Match_Log!$E$5:$E$200,$A7)+SUMIFS(Match_Log!$M$5:$M$200,Match_Log!$A$5:$A$200,6,Match_Log!$F$5:$F$200,$A7)</f>
        <v>1</v>
      </c>
      <c r="J7" s="22" t="n">
        <f aca="false">SUMIFS(Match_Log!$L$5:$L$200,Match_Log!$A$5:$A$200,7,Match_Log!$C$5:$C$200,$A7)+SUMIFS(Match_Log!$L$5:$L$200,Match_Log!$A$5:$A$200,7,Match_Log!$D$5:$D$200,$A7)+SUMIFS(Match_Log!$M$5:$M$200,Match_Log!$A$5:$A$200,7,Match_Log!$E$5:$E$200,$A7)+SUMIFS(Match_Log!$M$5:$M$200,Match_Log!$A$5:$A$200,7,Match_Log!$F$5:$F$200,$A7)</f>
        <v>0.25</v>
      </c>
      <c r="K7" s="22" t="n">
        <f aca="false">SUMIFS(Match_Log!$L$5:$L$200,Match_Log!$A$5:$A$200,8,Match_Log!$C$5:$C$200,$A7)+SUMIFS(Match_Log!$L$5:$L$200,Match_Log!$A$5:$A$200,8,Match_Log!$D$5:$D$200,$A7)+SUMIFS(Match_Log!$M$5:$M$200,Match_Log!$A$5:$A$200,8,Match_Log!$E$5:$E$200,$A7)+SUMIFS(Match_Log!$M$5:$M$200,Match_Log!$A$5:$A$200,8,Match_Log!$F$5:$F$200,$A7)</f>
        <v>0</v>
      </c>
      <c r="L7" s="22" t="n">
        <f aca="false">SUMIFS(Match_Log!$L$5:$L$200,Match_Log!$A$5:$A$200,9,Match_Log!$C$5:$C$200,$A7)+SUMIFS(Match_Log!$L$5:$L$200,Match_Log!$A$5:$A$200,9,Match_Log!$D$5:$D$200,$A7)+SUMIFS(Match_Log!$M$5:$M$200,Match_Log!$A$5:$A$200,9,Match_Log!$E$5:$E$200,$A7)+SUMIFS(Match_Log!$M$5:$M$200,Match_Log!$A$5:$A$200,9,Match_Log!$F$5:$F$200,$A7)</f>
        <v>0</v>
      </c>
      <c r="M7" s="22" t="n">
        <f aca="false">SUMIFS(Match_Log!$L$5:$L$200,Match_Log!$A$5:$A$200,10,Match_Log!$C$5:$C$200,$A7)+SUMIFS(Match_Log!$L$5:$L$200,Match_Log!$A$5:$A$200,10,Match_Log!$D$5:$D$200,$A7)+SUMIFS(Match_Log!$M$5:$M$200,Match_Log!$A$5:$A$200,10,Match_Log!$E$5:$E$200,$A7)+SUMIFS(Match_Log!$M$5:$M$200,Match_Log!$A$5:$A$200,10,Match_Log!$F$5:$F$200,$A7)</f>
        <v>0</v>
      </c>
      <c r="N7" s="23" t="n">
        <f aca="false">SUM(D7:M7)</f>
        <v>1.5</v>
      </c>
      <c r="O7" s="24" t="n">
        <f aca="false">SUMIFS(Match_Log!$K$5:$K$200,Match_Log!$C$5:$C$200,$A7)+SUMIFS(Match_Log!$K$5:$K$200,Match_Log!$D$5:$D$200,$A7)-SUMIFS(Match_Log!$K$5:$K$200,Match_Log!$E$5:$E$200,$A7)-SUMIFS(Match_Log!$K$5:$K$200,Match_Log!$F$5:$F$200,$A7)</f>
        <v>-3</v>
      </c>
      <c r="P7" s="15" t="n">
        <f aca="false">COUNTIFS($C$5:$C$20,C7,$N$5:$N$20,"&gt;"&amp;N7)+COUNTIFS($C$5:$C$20,C7,$N$5:$N$20,N7,$O$5:$O$20,"&gt;"&amp;O7)+1</f>
        <v>8</v>
      </c>
    </row>
    <row r="8" customFormat="false" ht="15" hidden="false" customHeight="false" outlineLevel="0" collapsed="false">
      <c r="A8" s="13" t="s">
        <v>57</v>
      </c>
      <c r="B8" s="14" t="s">
        <v>58</v>
      </c>
      <c r="C8" s="15" t="s">
        <v>52</v>
      </c>
      <c r="D8" s="22" t="n">
        <f aca="false">SUMIFS(Match_Log!$L$5:$L$200,Match_Log!$A$5:$A$200,1,Match_Log!$C$5:$C$200,$A8)+SUMIFS(Match_Log!$L$5:$L$200,Match_Log!$A$5:$A$200,1,Match_Log!$D$5:$D$200,$A8)+SUMIFS(Match_Log!$M$5:$M$200,Match_Log!$A$5:$A$200,1,Match_Log!$E$5:$E$200,$A8)+SUMIFS(Match_Log!$M$5:$M$200,Match_Log!$A$5:$A$200,1,Match_Log!$F$5:$F$200,$A8)</f>
        <v>0</v>
      </c>
      <c r="E8" s="22" t="n">
        <f aca="false">SUMIFS(Match_Log!$L$5:$L$200,Match_Log!$A$5:$A$200,2,Match_Log!$C$5:$C$200,$A8)+SUMIFS(Match_Log!$L$5:$L$200,Match_Log!$A$5:$A$200,2,Match_Log!$D$5:$D$200,$A8)+SUMIFS(Match_Log!$M$5:$M$200,Match_Log!$A$5:$A$200,2,Match_Log!$E$5:$E$200,$A8)+SUMIFS(Match_Log!$M$5:$M$200,Match_Log!$A$5:$A$200,2,Match_Log!$F$5:$F$200,$A8)</f>
        <v>0</v>
      </c>
      <c r="F8" s="22" t="n">
        <f aca="false">SUMIFS(Match_Log!$L$5:$L$200,Match_Log!$A$5:$A$200,3,Match_Log!$C$5:$C$200,$A8)+SUMIFS(Match_Log!$L$5:$L$200,Match_Log!$A$5:$A$200,3,Match_Log!$D$5:$D$200,$A8)+SUMIFS(Match_Log!$M$5:$M$200,Match_Log!$A$5:$A$200,3,Match_Log!$E$5:$E$200,$A8)+SUMIFS(Match_Log!$M$5:$M$200,Match_Log!$A$5:$A$200,3,Match_Log!$F$5:$F$200,$A8)</f>
        <v>1</v>
      </c>
      <c r="G8" s="22" t="n">
        <f aca="false">SUMIFS(Match_Log!$L$5:$L$200,Match_Log!$A$5:$A$200,4,Match_Log!$C$5:$C$200,$A8)+SUMIFS(Match_Log!$L$5:$L$200,Match_Log!$A$5:$A$200,4,Match_Log!$D$5:$D$200,$A8)+SUMIFS(Match_Log!$M$5:$M$200,Match_Log!$A$5:$A$200,4,Match_Log!$E$5:$E$200,$A8)+SUMIFS(Match_Log!$M$5:$M$200,Match_Log!$A$5:$A$200,4,Match_Log!$F$5:$F$200,$A8)</f>
        <v>0</v>
      </c>
      <c r="H8" s="22" t="n">
        <f aca="false">SUMIFS(Match_Log!$L$5:$L$200,Match_Log!$A$5:$A$200,5,Match_Log!$C$5:$C$200,$A8)+SUMIFS(Match_Log!$L$5:$L$200,Match_Log!$A$5:$A$200,5,Match_Log!$D$5:$D$200,$A8)+SUMIFS(Match_Log!$M$5:$M$200,Match_Log!$A$5:$A$200,5,Match_Log!$E$5:$E$200,$A8)+SUMIFS(Match_Log!$M$5:$M$200,Match_Log!$A$5:$A$200,5,Match_Log!$F$5:$F$200,$A8)</f>
        <v>0.25</v>
      </c>
      <c r="I8" s="22" t="n">
        <f aca="false">SUMIFS(Match_Log!$L$5:$L$200,Match_Log!$A$5:$A$200,6,Match_Log!$C$5:$C$200,$A8)+SUMIFS(Match_Log!$L$5:$L$200,Match_Log!$A$5:$A$200,6,Match_Log!$D$5:$D$200,$A8)+SUMIFS(Match_Log!$M$5:$M$200,Match_Log!$A$5:$A$200,6,Match_Log!$E$5:$E$200,$A8)+SUMIFS(Match_Log!$M$5:$M$200,Match_Log!$A$5:$A$200,6,Match_Log!$F$5:$F$200,$A8)</f>
        <v>0</v>
      </c>
      <c r="J8" s="22" t="n">
        <f aca="false">SUMIFS(Match_Log!$L$5:$L$200,Match_Log!$A$5:$A$200,7,Match_Log!$C$5:$C$200,$A8)+SUMIFS(Match_Log!$L$5:$L$200,Match_Log!$A$5:$A$200,7,Match_Log!$D$5:$D$200,$A8)+SUMIFS(Match_Log!$M$5:$M$200,Match_Log!$A$5:$A$200,7,Match_Log!$E$5:$E$200,$A8)+SUMIFS(Match_Log!$M$5:$M$200,Match_Log!$A$5:$A$200,7,Match_Log!$F$5:$F$200,$A8)</f>
        <v>0.5</v>
      </c>
      <c r="K8" s="22" t="n">
        <f aca="false">SUMIFS(Match_Log!$L$5:$L$200,Match_Log!$A$5:$A$200,8,Match_Log!$C$5:$C$200,$A8)+SUMIFS(Match_Log!$L$5:$L$200,Match_Log!$A$5:$A$200,8,Match_Log!$D$5:$D$200,$A8)+SUMIFS(Match_Log!$M$5:$M$200,Match_Log!$A$5:$A$200,8,Match_Log!$E$5:$E$200,$A8)+SUMIFS(Match_Log!$M$5:$M$200,Match_Log!$A$5:$A$200,8,Match_Log!$F$5:$F$200,$A8)</f>
        <v>0</v>
      </c>
      <c r="L8" s="22" t="n">
        <f aca="false">SUMIFS(Match_Log!$L$5:$L$200,Match_Log!$A$5:$A$200,9,Match_Log!$C$5:$C$200,$A8)+SUMIFS(Match_Log!$L$5:$L$200,Match_Log!$A$5:$A$200,9,Match_Log!$D$5:$D$200,$A8)+SUMIFS(Match_Log!$M$5:$M$200,Match_Log!$A$5:$A$200,9,Match_Log!$E$5:$E$200,$A8)+SUMIFS(Match_Log!$M$5:$M$200,Match_Log!$A$5:$A$200,9,Match_Log!$F$5:$F$200,$A8)</f>
        <v>0</v>
      </c>
      <c r="M8" s="22" t="n">
        <f aca="false">SUMIFS(Match_Log!$L$5:$L$200,Match_Log!$A$5:$A$200,10,Match_Log!$C$5:$C$200,$A8)+SUMIFS(Match_Log!$L$5:$L$200,Match_Log!$A$5:$A$200,10,Match_Log!$D$5:$D$200,$A8)+SUMIFS(Match_Log!$M$5:$M$200,Match_Log!$A$5:$A$200,10,Match_Log!$E$5:$E$200,$A8)+SUMIFS(Match_Log!$M$5:$M$200,Match_Log!$A$5:$A$200,10,Match_Log!$F$5:$F$200,$A8)</f>
        <v>0</v>
      </c>
      <c r="N8" s="23" t="n">
        <f aca="false">SUM(D8:M8)</f>
        <v>1.75</v>
      </c>
      <c r="O8" s="24" t="n">
        <f aca="false">SUMIFS(Match_Log!$K$5:$K$200,Match_Log!$C$5:$C$200,$A8)+SUMIFS(Match_Log!$K$5:$K$200,Match_Log!$D$5:$D$200,$A8)-SUMIFS(Match_Log!$K$5:$K$200,Match_Log!$E$5:$E$200,$A8)-SUMIFS(Match_Log!$K$5:$K$200,Match_Log!$F$5:$F$200,$A8)</f>
        <v>1</v>
      </c>
      <c r="P8" s="15" t="n">
        <f aca="false">COUNTIFS($C$5:$C$20,C8,$N$5:$N$20,"&gt;"&amp;N8)+COUNTIFS($C$5:$C$20,C8,$N$5:$N$20,N8,$O$5:$O$20,"&gt;"&amp;O8)+1</f>
        <v>7</v>
      </c>
    </row>
    <row r="9" customFormat="false" ht="15" hidden="false" customHeight="false" outlineLevel="0" collapsed="false">
      <c r="A9" s="13" t="s">
        <v>59</v>
      </c>
      <c r="B9" s="14" t="s">
        <v>60</v>
      </c>
      <c r="C9" s="15" t="s">
        <v>52</v>
      </c>
      <c r="D9" s="22" t="n">
        <f aca="false">SUMIFS(Match_Log!$L$5:$L$200,Match_Log!$A$5:$A$200,1,Match_Log!$C$5:$C$200,$A9)+SUMIFS(Match_Log!$L$5:$L$200,Match_Log!$A$5:$A$200,1,Match_Log!$D$5:$D$200,$A9)+SUMIFS(Match_Log!$M$5:$M$200,Match_Log!$A$5:$A$200,1,Match_Log!$E$5:$E$200,$A9)+SUMIFS(Match_Log!$M$5:$M$200,Match_Log!$A$5:$A$200,1,Match_Log!$F$5:$F$200,$A9)</f>
        <v>0</v>
      </c>
      <c r="E9" s="22" t="n">
        <f aca="false">SUMIFS(Match_Log!$L$5:$L$200,Match_Log!$A$5:$A$200,2,Match_Log!$C$5:$C$200,$A9)+SUMIFS(Match_Log!$L$5:$L$200,Match_Log!$A$5:$A$200,2,Match_Log!$D$5:$D$200,$A9)+SUMIFS(Match_Log!$M$5:$M$200,Match_Log!$A$5:$A$200,2,Match_Log!$E$5:$E$200,$A9)+SUMIFS(Match_Log!$M$5:$M$200,Match_Log!$A$5:$A$200,2,Match_Log!$F$5:$F$200,$A9)</f>
        <v>0</v>
      </c>
      <c r="F9" s="22" t="n">
        <f aca="false">SUMIFS(Match_Log!$L$5:$L$200,Match_Log!$A$5:$A$200,3,Match_Log!$C$5:$C$200,$A9)+SUMIFS(Match_Log!$L$5:$L$200,Match_Log!$A$5:$A$200,3,Match_Log!$D$5:$D$200,$A9)+SUMIFS(Match_Log!$M$5:$M$200,Match_Log!$A$5:$A$200,3,Match_Log!$E$5:$E$200,$A9)+SUMIFS(Match_Log!$M$5:$M$200,Match_Log!$A$5:$A$200,3,Match_Log!$F$5:$F$200,$A9)</f>
        <v>1</v>
      </c>
      <c r="G9" s="22" t="n">
        <f aca="false">SUMIFS(Match_Log!$L$5:$L$200,Match_Log!$A$5:$A$200,4,Match_Log!$C$5:$C$200,$A9)+SUMIFS(Match_Log!$L$5:$L$200,Match_Log!$A$5:$A$200,4,Match_Log!$D$5:$D$200,$A9)+SUMIFS(Match_Log!$M$5:$M$200,Match_Log!$A$5:$A$200,4,Match_Log!$E$5:$E$200,$A9)+SUMIFS(Match_Log!$M$5:$M$200,Match_Log!$A$5:$A$200,4,Match_Log!$F$5:$F$200,$A9)</f>
        <v>0.5</v>
      </c>
      <c r="H9" s="22" t="n">
        <f aca="false">SUMIFS(Match_Log!$L$5:$L$200,Match_Log!$A$5:$A$200,5,Match_Log!$C$5:$C$200,$A9)+SUMIFS(Match_Log!$L$5:$L$200,Match_Log!$A$5:$A$200,5,Match_Log!$D$5:$D$200,$A9)+SUMIFS(Match_Log!$M$5:$M$200,Match_Log!$A$5:$A$200,5,Match_Log!$E$5:$E$200,$A9)+SUMIFS(Match_Log!$M$5:$M$200,Match_Log!$A$5:$A$200,5,Match_Log!$F$5:$F$200,$A9)</f>
        <v>0</v>
      </c>
      <c r="I9" s="22" t="n">
        <f aca="false">SUMIFS(Match_Log!$L$5:$L$200,Match_Log!$A$5:$A$200,6,Match_Log!$C$5:$C$200,$A9)+SUMIFS(Match_Log!$L$5:$L$200,Match_Log!$A$5:$A$200,6,Match_Log!$D$5:$D$200,$A9)+SUMIFS(Match_Log!$M$5:$M$200,Match_Log!$A$5:$A$200,6,Match_Log!$E$5:$E$200,$A9)+SUMIFS(Match_Log!$M$5:$M$200,Match_Log!$A$5:$A$200,6,Match_Log!$F$5:$F$200,$A9)</f>
        <v>1</v>
      </c>
      <c r="J9" s="22" t="n">
        <f aca="false">SUMIFS(Match_Log!$L$5:$L$200,Match_Log!$A$5:$A$200,7,Match_Log!$C$5:$C$200,$A9)+SUMIFS(Match_Log!$L$5:$L$200,Match_Log!$A$5:$A$200,7,Match_Log!$D$5:$D$200,$A9)+SUMIFS(Match_Log!$M$5:$M$200,Match_Log!$A$5:$A$200,7,Match_Log!$E$5:$E$200,$A9)+SUMIFS(Match_Log!$M$5:$M$200,Match_Log!$A$5:$A$200,7,Match_Log!$F$5:$F$200,$A9)</f>
        <v>0.25</v>
      </c>
      <c r="K9" s="22" t="n">
        <f aca="false">SUMIFS(Match_Log!$L$5:$L$200,Match_Log!$A$5:$A$200,8,Match_Log!$C$5:$C$200,$A9)+SUMIFS(Match_Log!$L$5:$L$200,Match_Log!$A$5:$A$200,8,Match_Log!$D$5:$D$200,$A9)+SUMIFS(Match_Log!$M$5:$M$200,Match_Log!$A$5:$A$200,8,Match_Log!$E$5:$E$200,$A9)+SUMIFS(Match_Log!$M$5:$M$200,Match_Log!$A$5:$A$200,8,Match_Log!$F$5:$F$200,$A9)</f>
        <v>1</v>
      </c>
      <c r="L9" s="22" t="n">
        <f aca="false">SUMIFS(Match_Log!$L$5:$L$200,Match_Log!$A$5:$A$200,9,Match_Log!$C$5:$C$200,$A9)+SUMIFS(Match_Log!$L$5:$L$200,Match_Log!$A$5:$A$200,9,Match_Log!$D$5:$D$200,$A9)+SUMIFS(Match_Log!$M$5:$M$200,Match_Log!$A$5:$A$200,9,Match_Log!$E$5:$E$200,$A9)+SUMIFS(Match_Log!$M$5:$M$200,Match_Log!$A$5:$A$200,9,Match_Log!$F$5:$F$200,$A9)</f>
        <v>0</v>
      </c>
      <c r="M9" s="22" t="n">
        <f aca="false">SUMIFS(Match_Log!$L$5:$L$200,Match_Log!$A$5:$A$200,10,Match_Log!$C$5:$C$200,$A9)+SUMIFS(Match_Log!$L$5:$L$200,Match_Log!$A$5:$A$200,10,Match_Log!$D$5:$D$200,$A9)+SUMIFS(Match_Log!$M$5:$M$200,Match_Log!$A$5:$A$200,10,Match_Log!$E$5:$E$200,$A9)+SUMIFS(Match_Log!$M$5:$M$200,Match_Log!$A$5:$A$200,10,Match_Log!$F$5:$F$200,$A9)</f>
        <v>0</v>
      </c>
      <c r="N9" s="23" t="n">
        <f aca="false">SUM(D9:M9)</f>
        <v>3.75</v>
      </c>
      <c r="O9" s="24" t="n">
        <f aca="false">SUMIFS(Match_Log!$K$5:$K$200,Match_Log!$C$5:$C$200,$A9)+SUMIFS(Match_Log!$K$5:$K$200,Match_Log!$D$5:$D$200,$A9)-SUMIFS(Match_Log!$K$5:$K$200,Match_Log!$E$5:$E$200,$A9)-SUMIFS(Match_Log!$K$5:$K$200,Match_Log!$F$5:$F$200,$A9)</f>
        <v>-2</v>
      </c>
      <c r="P9" s="15" t="n">
        <f aca="false">COUNTIFS($C$5:$C$20,C9,$N$5:$N$20,"&gt;"&amp;N9)+COUNTIFS($C$5:$C$20,C9,$N$5:$N$20,N9,$O$5:$O$20,"&gt;"&amp;O9)+1</f>
        <v>2</v>
      </c>
    </row>
    <row r="10" customFormat="false" ht="15" hidden="false" customHeight="false" outlineLevel="0" collapsed="false">
      <c r="A10" s="13" t="s">
        <v>61</v>
      </c>
      <c r="B10" s="14" t="s">
        <v>62</v>
      </c>
      <c r="C10" s="15" t="s">
        <v>52</v>
      </c>
      <c r="D10" s="22" t="n">
        <f aca="false">SUMIFS(Match_Log!$L$5:$L$200,Match_Log!$A$5:$A$200,1,Match_Log!$C$5:$C$200,$A10)+SUMIFS(Match_Log!$L$5:$L$200,Match_Log!$A$5:$A$200,1,Match_Log!$D$5:$D$200,$A10)+SUMIFS(Match_Log!$M$5:$M$200,Match_Log!$A$5:$A$200,1,Match_Log!$E$5:$E$200,$A10)+SUMIFS(Match_Log!$M$5:$M$200,Match_Log!$A$5:$A$200,1,Match_Log!$F$5:$F$200,$A10)</f>
        <v>0</v>
      </c>
      <c r="E10" s="22" t="n">
        <f aca="false">SUMIFS(Match_Log!$L$5:$L$200,Match_Log!$A$5:$A$200,2,Match_Log!$C$5:$C$200,$A10)+SUMIFS(Match_Log!$L$5:$L$200,Match_Log!$A$5:$A$200,2,Match_Log!$D$5:$D$200,$A10)+SUMIFS(Match_Log!$M$5:$M$200,Match_Log!$A$5:$A$200,2,Match_Log!$E$5:$E$200,$A10)+SUMIFS(Match_Log!$M$5:$M$200,Match_Log!$A$5:$A$200,2,Match_Log!$F$5:$F$200,$A10)</f>
        <v>0</v>
      </c>
      <c r="F10" s="22" t="n">
        <f aca="false">SUMIFS(Match_Log!$L$5:$L$200,Match_Log!$A$5:$A$200,3,Match_Log!$C$5:$C$200,$A10)+SUMIFS(Match_Log!$L$5:$L$200,Match_Log!$A$5:$A$200,3,Match_Log!$D$5:$D$200,$A10)+SUMIFS(Match_Log!$M$5:$M$200,Match_Log!$A$5:$A$200,3,Match_Log!$E$5:$E$200,$A10)+SUMIFS(Match_Log!$M$5:$M$200,Match_Log!$A$5:$A$200,3,Match_Log!$F$5:$F$200,$A10)</f>
        <v>0</v>
      </c>
      <c r="G10" s="22" t="n">
        <f aca="false">SUMIFS(Match_Log!$L$5:$L$200,Match_Log!$A$5:$A$200,4,Match_Log!$C$5:$C$200,$A10)+SUMIFS(Match_Log!$L$5:$L$200,Match_Log!$A$5:$A$200,4,Match_Log!$D$5:$D$200,$A10)+SUMIFS(Match_Log!$M$5:$M$200,Match_Log!$A$5:$A$200,4,Match_Log!$E$5:$E$200,$A10)+SUMIFS(Match_Log!$M$5:$M$200,Match_Log!$A$5:$A$200,4,Match_Log!$F$5:$F$200,$A10)</f>
        <v>0</v>
      </c>
      <c r="H10" s="22" t="n">
        <f aca="false">SUMIFS(Match_Log!$L$5:$L$200,Match_Log!$A$5:$A$200,5,Match_Log!$C$5:$C$200,$A10)+SUMIFS(Match_Log!$L$5:$L$200,Match_Log!$A$5:$A$200,5,Match_Log!$D$5:$D$200,$A10)+SUMIFS(Match_Log!$M$5:$M$200,Match_Log!$A$5:$A$200,5,Match_Log!$E$5:$E$200,$A10)+SUMIFS(Match_Log!$M$5:$M$200,Match_Log!$A$5:$A$200,5,Match_Log!$F$5:$F$200,$A10)</f>
        <v>0.5</v>
      </c>
      <c r="I10" s="22" t="n">
        <f aca="false">SUMIFS(Match_Log!$L$5:$L$200,Match_Log!$A$5:$A$200,6,Match_Log!$C$5:$C$200,$A10)+SUMIFS(Match_Log!$L$5:$L$200,Match_Log!$A$5:$A$200,6,Match_Log!$D$5:$D$200,$A10)+SUMIFS(Match_Log!$M$5:$M$200,Match_Log!$A$5:$A$200,6,Match_Log!$E$5:$E$200,$A10)+SUMIFS(Match_Log!$M$5:$M$200,Match_Log!$A$5:$A$200,6,Match_Log!$F$5:$F$200,$A10)</f>
        <v>1</v>
      </c>
      <c r="J10" s="22" t="n">
        <f aca="false">SUMIFS(Match_Log!$L$5:$L$200,Match_Log!$A$5:$A$200,7,Match_Log!$C$5:$C$200,$A10)+SUMIFS(Match_Log!$L$5:$L$200,Match_Log!$A$5:$A$200,7,Match_Log!$D$5:$D$200,$A10)+SUMIFS(Match_Log!$M$5:$M$200,Match_Log!$A$5:$A$200,7,Match_Log!$E$5:$E$200,$A10)+SUMIFS(Match_Log!$M$5:$M$200,Match_Log!$A$5:$A$200,7,Match_Log!$F$5:$F$200,$A10)</f>
        <v>0.5</v>
      </c>
      <c r="K10" s="22" t="n">
        <f aca="false">SUMIFS(Match_Log!$L$5:$L$200,Match_Log!$A$5:$A$200,8,Match_Log!$C$5:$C$200,$A10)+SUMIFS(Match_Log!$L$5:$L$200,Match_Log!$A$5:$A$200,8,Match_Log!$D$5:$D$200,$A10)+SUMIFS(Match_Log!$M$5:$M$200,Match_Log!$A$5:$A$200,8,Match_Log!$E$5:$E$200,$A10)+SUMIFS(Match_Log!$M$5:$M$200,Match_Log!$A$5:$A$200,8,Match_Log!$F$5:$F$200,$A10)</f>
        <v>1</v>
      </c>
      <c r="L10" s="22" t="n">
        <f aca="false">SUMIFS(Match_Log!$L$5:$L$200,Match_Log!$A$5:$A$200,9,Match_Log!$C$5:$C$200,$A10)+SUMIFS(Match_Log!$L$5:$L$200,Match_Log!$A$5:$A$200,9,Match_Log!$D$5:$D$200,$A10)+SUMIFS(Match_Log!$M$5:$M$200,Match_Log!$A$5:$A$200,9,Match_Log!$E$5:$E$200,$A10)+SUMIFS(Match_Log!$M$5:$M$200,Match_Log!$A$5:$A$200,9,Match_Log!$F$5:$F$200,$A10)</f>
        <v>0</v>
      </c>
      <c r="M10" s="22" t="n">
        <f aca="false">SUMIFS(Match_Log!$L$5:$L$200,Match_Log!$A$5:$A$200,10,Match_Log!$C$5:$C$200,$A10)+SUMIFS(Match_Log!$L$5:$L$200,Match_Log!$A$5:$A$200,10,Match_Log!$D$5:$D$200,$A10)+SUMIFS(Match_Log!$M$5:$M$200,Match_Log!$A$5:$A$200,10,Match_Log!$E$5:$E$200,$A10)+SUMIFS(Match_Log!$M$5:$M$200,Match_Log!$A$5:$A$200,10,Match_Log!$F$5:$F$200,$A10)</f>
        <v>0</v>
      </c>
      <c r="N10" s="23" t="n">
        <f aca="false">SUM(D10:M10)</f>
        <v>3</v>
      </c>
      <c r="O10" s="24" t="n">
        <f aca="false">SUMIFS(Match_Log!$K$5:$K$200,Match_Log!$C$5:$C$200,$A10)+SUMIFS(Match_Log!$K$5:$K$200,Match_Log!$D$5:$D$200,$A10)-SUMIFS(Match_Log!$K$5:$K$200,Match_Log!$E$5:$E$200,$A10)-SUMIFS(Match_Log!$K$5:$K$200,Match_Log!$F$5:$F$200,$A10)</f>
        <v>2</v>
      </c>
      <c r="P10" s="15" t="n">
        <f aca="false">COUNTIFS($C$5:$C$20,C10,$N$5:$N$20,"&gt;"&amp;N10)+COUNTIFS($C$5:$C$20,C10,$N$5:$N$20,N10,$O$5:$O$20,"&gt;"&amp;O10)+1</f>
        <v>3</v>
      </c>
    </row>
    <row r="11" customFormat="false" ht="15" hidden="false" customHeight="false" outlineLevel="0" collapsed="false">
      <c r="A11" s="13" t="s">
        <v>63</v>
      </c>
      <c r="B11" s="14" t="s">
        <v>64</v>
      </c>
      <c r="C11" s="15" t="s">
        <v>52</v>
      </c>
      <c r="D11" s="22" t="n">
        <f aca="false">SUMIFS(Match_Log!$L$5:$L$200,Match_Log!$A$5:$A$200,1,Match_Log!$C$5:$C$200,$A11)+SUMIFS(Match_Log!$L$5:$L$200,Match_Log!$A$5:$A$200,1,Match_Log!$D$5:$D$200,$A11)+SUMIFS(Match_Log!$M$5:$M$200,Match_Log!$A$5:$A$200,1,Match_Log!$E$5:$E$200,$A11)+SUMIFS(Match_Log!$M$5:$M$200,Match_Log!$A$5:$A$200,1,Match_Log!$F$5:$F$200,$A11)</f>
        <v>0.5</v>
      </c>
      <c r="E11" s="22" t="n">
        <f aca="false">SUMIFS(Match_Log!$L$5:$L$200,Match_Log!$A$5:$A$200,2,Match_Log!$C$5:$C$200,$A11)+SUMIFS(Match_Log!$L$5:$L$200,Match_Log!$A$5:$A$200,2,Match_Log!$D$5:$D$200,$A11)+SUMIFS(Match_Log!$M$5:$M$200,Match_Log!$A$5:$A$200,2,Match_Log!$E$5:$E$200,$A11)+SUMIFS(Match_Log!$M$5:$M$200,Match_Log!$A$5:$A$200,2,Match_Log!$F$5:$F$200,$A11)</f>
        <v>0.5</v>
      </c>
      <c r="F11" s="22" t="n">
        <f aca="false">SUMIFS(Match_Log!$L$5:$L$200,Match_Log!$A$5:$A$200,3,Match_Log!$C$5:$C$200,$A11)+SUMIFS(Match_Log!$L$5:$L$200,Match_Log!$A$5:$A$200,3,Match_Log!$D$5:$D$200,$A11)+SUMIFS(Match_Log!$M$5:$M$200,Match_Log!$A$5:$A$200,3,Match_Log!$E$5:$E$200,$A11)+SUMIFS(Match_Log!$M$5:$M$200,Match_Log!$A$5:$A$200,3,Match_Log!$F$5:$F$200,$A11)</f>
        <v>1</v>
      </c>
      <c r="G11" s="22" t="n">
        <f aca="false">SUMIFS(Match_Log!$L$5:$L$200,Match_Log!$A$5:$A$200,4,Match_Log!$C$5:$C$200,$A11)+SUMIFS(Match_Log!$L$5:$L$200,Match_Log!$A$5:$A$200,4,Match_Log!$D$5:$D$200,$A11)+SUMIFS(Match_Log!$M$5:$M$200,Match_Log!$A$5:$A$200,4,Match_Log!$E$5:$E$200,$A11)+SUMIFS(Match_Log!$M$5:$M$200,Match_Log!$A$5:$A$200,4,Match_Log!$F$5:$F$200,$A11)</f>
        <v>0.5</v>
      </c>
      <c r="H11" s="22" t="n">
        <f aca="false">SUMIFS(Match_Log!$L$5:$L$200,Match_Log!$A$5:$A$200,5,Match_Log!$C$5:$C$200,$A11)+SUMIFS(Match_Log!$L$5:$L$200,Match_Log!$A$5:$A$200,5,Match_Log!$D$5:$D$200,$A11)+SUMIFS(Match_Log!$M$5:$M$200,Match_Log!$A$5:$A$200,5,Match_Log!$E$5:$E$200,$A11)+SUMIFS(Match_Log!$M$5:$M$200,Match_Log!$A$5:$A$200,5,Match_Log!$F$5:$F$200,$A11)</f>
        <v>0</v>
      </c>
      <c r="I11" s="22" t="n">
        <f aca="false">SUMIFS(Match_Log!$L$5:$L$200,Match_Log!$A$5:$A$200,6,Match_Log!$C$5:$C$200,$A11)+SUMIFS(Match_Log!$L$5:$L$200,Match_Log!$A$5:$A$200,6,Match_Log!$D$5:$D$200,$A11)+SUMIFS(Match_Log!$M$5:$M$200,Match_Log!$A$5:$A$200,6,Match_Log!$E$5:$E$200,$A11)+SUMIFS(Match_Log!$M$5:$M$200,Match_Log!$A$5:$A$200,6,Match_Log!$F$5:$F$200,$A11)</f>
        <v>1</v>
      </c>
      <c r="J11" s="22" t="n">
        <f aca="false">SUMIFS(Match_Log!$L$5:$L$200,Match_Log!$A$5:$A$200,7,Match_Log!$C$5:$C$200,$A11)+SUMIFS(Match_Log!$L$5:$L$200,Match_Log!$A$5:$A$200,7,Match_Log!$D$5:$D$200,$A11)+SUMIFS(Match_Log!$M$5:$M$200,Match_Log!$A$5:$A$200,7,Match_Log!$E$5:$E$200,$A11)+SUMIFS(Match_Log!$M$5:$M$200,Match_Log!$A$5:$A$200,7,Match_Log!$F$5:$F$200,$A11)</f>
        <v>0.5</v>
      </c>
      <c r="K11" s="22" t="n">
        <f aca="false">SUMIFS(Match_Log!$L$5:$L$200,Match_Log!$A$5:$A$200,8,Match_Log!$C$5:$C$200,$A11)+SUMIFS(Match_Log!$L$5:$L$200,Match_Log!$A$5:$A$200,8,Match_Log!$D$5:$D$200,$A11)+SUMIFS(Match_Log!$M$5:$M$200,Match_Log!$A$5:$A$200,8,Match_Log!$E$5:$E$200,$A11)+SUMIFS(Match_Log!$M$5:$M$200,Match_Log!$A$5:$A$200,8,Match_Log!$F$5:$F$200,$A11)</f>
        <v>1</v>
      </c>
      <c r="L11" s="22" t="n">
        <f aca="false">SUMIFS(Match_Log!$L$5:$L$200,Match_Log!$A$5:$A$200,9,Match_Log!$C$5:$C$200,$A11)+SUMIFS(Match_Log!$L$5:$L$200,Match_Log!$A$5:$A$200,9,Match_Log!$D$5:$D$200,$A11)+SUMIFS(Match_Log!$M$5:$M$200,Match_Log!$A$5:$A$200,9,Match_Log!$E$5:$E$200,$A11)+SUMIFS(Match_Log!$M$5:$M$200,Match_Log!$A$5:$A$200,9,Match_Log!$F$5:$F$200,$A11)</f>
        <v>0</v>
      </c>
      <c r="M11" s="22" t="n">
        <f aca="false">SUMIFS(Match_Log!$L$5:$L$200,Match_Log!$A$5:$A$200,10,Match_Log!$C$5:$C$200,$A11)+SUMIFS(Match_Log!$L$5:$L$200,Match_Log!$A$5:$A$200,10,Match_Log!$D$5:$D$200,$A11)+SUMIFS(Match_Log!$M$5:$M$200,Match_Log!$A$5:$A$200,10,Match_Log!$E$5:$E$200,$A11)+SUMIFS(Match_Log!$M$5:$M$200,Match_Log!$A$5:$A$200,10,Match_Log!$F$5:$F$200,$A11)</f>
        <v>0</v>
      </c>
      <c r="N11" s="23" t="n">
        <f aca="false">SUM(D11:M11)</f>
        <v>5</v>
      </c>
      <c r="O11" s="24" t="n">
        <f aca="false">SUMIFS(Match_Log!$K$5:$K$200,Match_Log!$C$5:$C$200,$A11)+SUMIFS(Match_Log!$K$5:$K$200,Match_Log!$D$5:$D$200,$A11)-SUMIFS(Match_Log!$K$5:$K$200,Match_Log!$E$5:$E$200,$A11)-SUMIFS(Match_Log!$K$5:$K$200,Match_Log!$F$5:$F$200,$A11)</f>
        <v>22</v>
      </c>
      <c r="P11" s="15" t="n">
        <f aca="false">COUNTIFS($C$5:$C$20,C11,$N$5:$N$20,"&gt;"&amp;N11)+COUNTIFS($C$5:$C$20,C11,$N$5:$N$20,N11,$O$5:$O$20,"&gt;"&amp;O11)+1</f>
        <v>1</v>
      </c>
    </row>
    <row r="12" customFormat="false" ht="15" hidden="false" customHeight="false" outlineLevel="0" collapsed="false">
      <c r="A12" s="13" t="s">
        <v>65</v>
      </c>
      <c r="B12" s="14" t="s">
        <v>66</v>
      </c>
      <c r="C12" s="15" t="s">
        <v>52</v>
      </c>
      <c r="D12" s="22" t="n">
        <f aca="false">SUMIFS(Match_Log!$L$5:$L$200,Match_Log!$A$5:$A$200,1,Match_Log!$C$5:$C$200,$A12)+SUMIFS(Match_Log!$L$5:$L$200,Match_Log!$A$5:$A$200,1,Match_Log!$D$5:$D$200,$A12)+SUMIFS(Match_Log!$M$5:$M$200,Match_Log!$A$5:$A$200,1,Match_Log!$E$5:$E$200,$A12)+SUMIFS(Match_Log!$M$5:$M$200,Match_Log!$A$5:$A$200,1,Match_Log!$F$5:$F$200,$A12)</f>
        <v>0.5</v>
      </c>
      <c r="E12" s="22" t="n">
        <f aca="false">SUMIFS(Match_Log!$L$5:$L$200,Match_Log!$A$5:$A$200,2,Match_Log!$C$5:$C$200,$A12)+SUMIFS(Match_Log!$L$5:$L$200,Match_Log!$A$5:$A$200,2,Match_Log!$D$5:$D$200,$A12)+SUMIFS(Match_Log!$M$5:$M$200,Match_Log!$A$5:$A$200,2,Match_Log!$E$5:$E$200,$A12)+SUMIFS(Match_Log!$M$5:$M$200,Match_Log!$A$5:$A$200,2,Match_Log!$F$5:$F$200,$A12)</f>
        <v>0.5</v>
      </c>
      <c r="F12" s="22" t="n">
        <f aca="false">SUMIFS(Match_Log!$L$5:$L$200,Match_Log!$A$5:$A$200,3,Match_Log!$C$5:$C$200,$A12)+SUMIFS(Match_Log!$L$5:$L$200,Match_Log!$A$5:$A$200,3,Match_Log!$D$5:$D$200,$A12)+SUMIFS(Match_Log!$M$5:$M$200,Match_Log!$A$5:$A$200,3,Match_Log!$E$5:$E$200,$A12)+SUMIFS(Match_Log!$M$5:$M$200,Match_Log!$A$5:$A$200,3,Match_Log!$F$5:$F$200,$A12)</f>
        <v>0</v>
      </c>
      <c r="G12" s="22" t="n">
        <f aca="false">SUMIFS(Match_Log!$L$5:$L$200,Match_Log!$A$5:$A$200,4,Match_Log!$C$5:$C$200,$A12)+SUMIFS(Match_Log!$L$5:$L$200,Match_Log!$A$5:$A$200,4,Match_Log!$D$5:$D$200,$A12)+SUMIFS(Match_Log!$M$5:$M$200,Match_Log!$A$5:$A$200,4,Match_Log!$E$5:$E$200,$A12)+SUMIFS(Match_Log!$M$5:$M$200,Match_Log!$A$5:$A$200,4,Match_Log!$F$5:$F$200,$A12)</f>
        <v>0.5</v>
      </c>
      <c r="H12" s="22" t="n">
        <f aca="false">SUMIFS(Match_Log!$L$5:$L$200,Match_Log!$A$5:$A$200,5,Match_Log!$C$5:$C$200,$A12)+SUMIFS(Match_Log!$L$5:$L$200,Match_Log!$A$5:$A$200,5,Match_Log!$D$5:$D$200,$A12)+SUMIFS(Match_Log!$M$5:$M$200,Match_Log!$A$5:$A$200,5,Match_Log!$E$5:$E$200,$A12)+SUMIFS(Match_Log!$M$5:$M$200,Match_Log!$A$5:$A$200,5,Match_Log!$F$5:$F$200,$A12)</f>
        <v>0.25</v>
      </c>
      <c r="I12" s="22" t="n">
        <f aca="false">SUMIFS(Match_Log!$L$5:$L$200,Match_Log!$A$5:$A$200,6,Match_Log!$C$5:$C$200,$A12)+SUMIFS(Match_Log!$L$5:$L$200,Match_Log!$A$5:$A$200,6,Match_Log!$D$5:$D$200,$A12)+SUMIFS(Match_Log!$M$5:$M$200,Match_Log!$A$5:$A$200,6,Match_Log!$E$5:$E$200,$A12)+SUMIFS(Match_Log!$M$5:$M$200,Match_Log!$A$5:$A$200,6,Match_Log!$F$5:$F$200,$A12)</f>
        <v>0.5</v>
      </c>
      <c r="J12" s="22" t="n">
        <f aca="false">SUMIFS(Match_Log!$L$5:$L$200,Match_Log!$A$5:$A$200,7,Match_Log!$C$5:$C$200,$A12)+SUMIFS(Match_Log!$L$5:$L$200,Match_Log!$A$5:$A$200,7,Match_Log!$D$5:$D$200,$A12)+SUMIFS(Match_Log!$M$5:$M$200,Match_Log!$A$5:$A$200,7,Match_Log!$E$5:$E$200,$A12)+SUMIFS(Match_Log!$M$5:$M$200,Match_Log!$A$5:$A$200,7,Match_Log!$F$5:$F$200,$A12)</f>
        <v>0</v>
      </c>
      <c r="K12" s="22" t="n">
        <f aca="false">SUMIFS(Match_Log!$L$5:$L$200,Match_Log!$A$5:$A$200,8,Match_Log!$C$5:$C$200,$A12)+SUMIFS(Match_Log!$L$5:$L$200,Match_Log!$A$5:$A$200,8,Match_Log!$D$5:$D$200,$A12)+SUMIFS(Match_Log!$M$5:$M$200,Match_Log!$A$5:$A$200,8,Match_Log!$E$5:$E$200,$A12)+SUMIFS(Match_Log!$M$5:$M$200,Match_Log!$A$5:$A$200,8,Match_Log!$F$5:$F$200,$A12)</f>
        <v>0.5</v>
      </c>
      <c r="L12" s="22" t="n">
        <f aca="false">SUMIFS(Match_Log!$L$5:$L$200,Match_Log!$A$5:$A$200,9,Match_Log!$C$5:$C$200,$A12)+SUMIFS(Match_Log!$L$5:$L$200,Match_Log!$A$5:$A$200,9,Match_Log!$D$5:$D$200,$A12)+SUMIFS(Match_Log!$M$5:$M$200,Match_Log!$A$5:$A$200,9,Match_Log!$E$5:$E$200,$A12)+SUMIFS(Match_Log!$M$5:$M$200,Match_Log!$A$5:$A$200,9,Match_Log!$F$5:$F$200,$A12)</f>
        <v>0</v>
      </c>
      <c r="M12" s="22" t="n">
        <f aca="false">SUMIFS(Match_Log!$L$5:$L$200,Match_Log!$A$5:$A$200,10,Match_Log!$C$5:$C$200,$A12)+SUMIFS(Match_Log!$L$5:$L$200,Match_Log!$A$5:$A$200,10,Match_Log!$D$5:$D$200,$A12)+SUMIFS(Match_Log!$M$5:$M$200,Match_Log!$A$5:$A$200,10,Match_Log!$E$5:$E$200,$A12)+SUMIFS(Match_Log!$M$5:$M$200,Match_Log!$A$5:$A$200,10,Match_Log!$F$5:$F$200,$A12)</f>
        <v>0</v>
      </c>
      <c r="N12" s="23" t="n">
        <f aca="false">SUM(D12:M12)</f>
        <v>2.75</v>
      </c>
      <c r="O12" s="24" t="n">
        <f aca="false">SUMIFS(Match_Log!$K$5:$K$200,Match_Log!$C$5:$C$200,$A12)+SUMIFS(Match_Log!$K$5:$K$200,Match_Log!$D$5:$D$200,$A12)-SUMIFS(Match_Log!$K$5:$K$200,Match_Log!$E$5:$E$200,$A12)-SUMIFS(Match_Log!$K$5:$K$200,Match_Log!$F$5:$F$200,$A12)</f>
        <v>8</v>
      </c>
      <c r="P12" s="15" t="n">
        <f aca="false">COUNTIFS($C$5:$C$20,C12,$N$5:$N$20,"&gt;"&amp;N12)+COUNTIFS($C$5:$C$20,C12,$N$5:$N$20,N12,$O$5:$O$20,"&gt;"&amp;O12)+1</f>
        <v>4</v>
      </c>
    </row>
    <row r="13" customFormat="false" ht="15" hidden="false" customHeight="false" outlineLevel="0" collapsed="false">
      <c r="A13" s="13" t="s">
        <v>67</v>
      </c>
      <c r="B13" s="14" t="s">
        <v>68</v>
      </c>
      <c r="C13" s="15" t="s">
        <v>69</v>
      </c>
      <c r="D13" s="22" t="n">
        <f aca="false">SUMIFS(Match_Log!$L$5:$L$200,Match_Log!$A$5:$A$200,1,Match_Log!$C$5:$C$200,$A13)+SUMIFS(Match_Log!$L$5:$L$200,Match_Log!$A$5:$A$200,1,Match_Log!$D$5:$D$200,$A13)+SUMIFS(Match_Log!$M$5:$M$200,Match_Log!$A$5:$A$200,1,Match_Log!$E$5:$E$200,$A13)+SUMIFS(Match_Log!$M$5:$M$200,Match_Log!$A$5:$A$200,1,Match_Log!$F$5:$F$200,$A13)</f>
        <v>0.5</v>
      </c>
      <c r="E13" s="22" t="n">
        <f aca="false">SUMIFS(Match_Log!$L$5:$L$200,Match_Log!$A$5:$A$200,2,Match_Log!$C$5:$C$200,$A13)+SUMIFS(Match_Log!$L$5:$L$200,Match_Log!$A$5:$A$200,2,Match_Log!$D$5:$D$200,$A13)+SUMIFS(Match_Log!$M$5:$M$200,Match_Log!$A$5:$A$200,2,Match_Log!$E$5:$E$200,$A13)+SUMIFS(Match_Log!$M$5:$M$200,Match_Log!$A$5:$A$200,2,Match_Log!$F$5:$F$200,$A13)</f>
        <v>0.5</v>
      </c>
      <c r="F13" s="22" t="n">
        <f aca="false">SUMIFS(Match_Log!$L$5:$L$200,Match_Log!$A$5:$A$200,3,Match_Log!$C$5:$C$200,$A13)+SUMIFS(Match_Log!$L$5:$L$200,Match_Log!$A$5:$A$200,3,Match_Log!$D$5:$D$200,$A13)+SUMIFS(Match_Log!$M$5:$M$200,Match_Log!$A$5:$A$200,3,Match_Log!$E$5:$E$200,$A13)+SUMIFS(Match_Log!$M$5:$M$200,Match_Log!$A$5:$A$200,3,Match_Log!$F$5:$F$200,$A13)</f>
        <v>1</v>
      </c>
      <c r="G13" s="22" t="n">
        <f aca="false">SUMIFS(Match_Log!$L$5:$L$200,Match_Log!$A$5:$A$200,4,Match_Log!$C$5:$C$200,$A13)+SUMIFS(Match_Log!$L$5:$L$200,Match_Log!$A$5:$A$200,4,Match_Log!$D$5:$D$200,$A13)+SUMIFS(Match_Log!$M$5:$M$200,Match_Log!$A$5:$A$200,4,Match_Log!$E$5:$E$200,$A13)+SUMIFS(Match_Log!$M$5:$M$200,Match_Log!$A$5:$A$200,4,Match_Log!$F$5:$F$200,$A13)</f>
        <v>0</v>
      </c>
      <c r="H13" s="22" t="n">
        <f aca="false">SUMIFS(Match_Log!$L$5:$L$200,Match_Log!$A$5:$A$200,5,Match_Log!$C$5:$C$200,$A13)+SUMIFS(Match_Log!$L$5:$L$200,Match_Log!$A$5:$A$200,5,Match_Log!$D$5:$D$200,$A13)+SUMIFS(Match_Log!$M$5:$M$200,Match_Log!$A$5:$A$200,5,Match_Log!$E$5:$E$200,$A13)+SUMIFS(Match_Log!$M$5:$M$200,Match_Log!$A$5:$A$200,5,Match_Log!$F$5:$F$200,$A13)</f>
        <v>0.25</v>
      </c>
      <c r="I13" s="22" t="n">
        <f aca="false">SUMIFS(Match_Log!$L$5:$L$200,Match_Log!$A$5:$A$200,6,Match_Log!$C$5:$C$200,$A13)+SUMIFS(Match_Log!$L$5:$L$200,Match_Log!$A$5:$A$200,6,Match_Log!$D$5:$D$200,$A13)+SUMIFS(Match_Log!$M$5:$M$200,Match_Log!$A$5:$A$200,6,Match_Log!$E$5:$E$200,$A13)+SUMIFS(Match_Log!$M$5:$M$200,Match_Log!$A$5:$A$200,6,Match_Log!$F$5:$F$200,$A13)</f>
        <v>0</v>
      </c>
      <c r="J13" s="22" t="n">
        <f aca="false">SUMIFS(Match_Log!$L$5:$L$200,Match_Log!$A$5:$A$200,7,Match_Log!$C$5:$C$200,$A13)+SUMIFS(Match_Log!$L$5:$L$200,Match_Log!$A$5:$A$200,7,Match_Log!$D$5:$D$200,$A13)+SUMIFS(Match_Log!$M$5:$M$200,Match_Log!$A$5:$A$200,7,Match_Log!$E$5:$E$200,$A13)+SUMIFS(Match_Log!$M$5:$M$200,Match_Log!$A$5:$A$200,7,Match_Log!$F$5:$F$200,$A13)</f>
        <v>0.5</v>
      </c>
      <c r="K13" s="22" t="n">
        <f aca="false">SUMIFS(Match_Log!$L$5:$L$200,Match_Log!$A$5:$A$200,8,Match_Log!$C$5:$C$200,$A13)+SUMIFS(Match_Log!$L$5:$L$200,Match_Log!$A$5:$A$200,8,Match_Log!$D$5:$D$200,$A13)+SUMIFS(Match_Log!$M$5:$M$200,Match_Log!$A$5:$A$200,8,Match_Log!$E$5:$E$200,$A13)+SUMIFS(Match_Log!$M$5:$M$200,Match_Log!$A$5:$A$200,8,Match_Log!$F$5:$F$200,$A13)</f>
        <v>0</v>
      </c>
      <c r="L13" s="22" t="n">
        <f aca="false">SUMIFS(Match_Log!$L$5:$L$200,Match_Log!$A$5:$A$200,9,Match_Log!$C$5:$C$200,$A13)+SUMIFS(Match_Log!$L$5:$L$200,Match_Log!$A$5:$A$200,9,Match_Log!$D$5:$D$200,$A13)+SUMIFS(Match_Log!$M$5:$M$200,Match_Log!$A$5:$A$200,9,Match_Log!$E$5:$E$200,$A13)+SUMIFS(Match_Log!$M$5:$M$200,Match_Log!$A$5:$A$200,9,Match_Log!$F$5:$F$200,$A13)</f>
        <v>0</v>
      </c>
      <c r="M13" s="22" t="n">
        <f aca="false">SUMIFS(Match_Log!$L$5:$L$200,Match_Log!$A$5:$A$200,10,Match_Log!$C$5:$C$200,$A13)+SUMIFS(Match_Log!$L$5:$L$200,Match_Log!$A$5:$A$200,10,Match_Log!$D$5:$D$200,$A13)+SUMIFS(Match_Log!$M$5:$M$200,Match_Log!$A$5:$A$200,10,Match_Log!$E$5:$E$200,$A13)+SUMIFS(Match_Log!$M$5:$M$200,Match_Log!$A$5:$A$200,10,Match_Log!$F$5:$F$200,$A13)</f>
        <v>0</v>
      </c>
      <c r="N13" s="23" t="n">
        <f aca="false">SUM(D13:M13)</f>
        <v>2.75</v>
      </c>
      <c r="O13" s="24" t="n">
        <f aca="false">SUMIFS(Match_Log!$K$5:$K$200,Match_Log!$C$5:$C$200,$A13)+SUMIFS(Match_Log!$K$5:$K$200,Match_Log!$D$5:$D$200,$A13)-SUMIFS(Match_Log!$K$5:$K$200,Match_Log!$E$5:$E$200,$A13)-SUMIFS(Match_Log!$K$5:$K$200,Match_Log!$F$5:$F$200,$A13)</f>
        <v>-2</v>
      </c>
      <c r="P13" s="15" t="n">
        <f aca="false">COUNTIFS($C$5:$C$20,C13,$N$5:$N$20,"&gt;"&amp;N13)+COUNTIFS($C$5:$C$20,C13,$N$5:$N$20,N13,$O$5:$O$20,"&gt;"&amp;O13)+1</f>
        <v>4</v>
      </c>
    </row>
    <row r="14" customFormat="false" ht="15" hidden="false" customHeight="false" outlineLevel="0" collapsed="false">
      <c r="A14" s="13" t="s">
        <v>70</v>
      </c>
      <c r="B14" s="14" t="s">
        <v>71</v>
      </c>
      <c r="C14" s="15" t="s">
        <v>69</v>
      </c>
      <c r="D14" s="22" t="n">
        <f aca="false">SUMIFS(Match_Log!$L$5:$L$200,Match_Log!$A$5:$A$200,1,Match_Log!$C$5:$C$200,$A14)+SUMIFS(Match_Log!$L$5:$L$200,Match_Log!$A$5:$A$200,1,Match_Log!$D$5:$D$200,$A14)+SUMIFS(Match_Log!$M$5:$M$200,Match_Log!$A$5:$A$200,1,Match_Log!$E$5:$E$200,$A14)+SUMIFS(Match_Log!$M$5:$M$200,Match_Log!$A$5:$A$200,1,Match_Log!$F$5:$F$200,$A14)</f>
        <v>0.5</v>
      </c>
      <c r="E14" s="22" t="n">
        <f aca="false">SUMIFS(Match_Log!$L$5:$L$200,Match_Log!$A$5:$A$200,2,Match_Log!$C$5:$C$200,$A14)+SUMIFS(Match_Log!$L$5:$L$200,Match_Log!$A$5:$A$200,2,Match_Log!$D$5:$D$200,$A14)+SUMIFS(Match_Log!$M$5:$M$200,Match_Log!$A$5:$A$200,2,Match_Log!$E$5:$E$200,$A14)+SUMIFS(Match_Log!$M$5:$M$200,Match_Log!$A$5:$A$200,2,Match_Log!$F$5:$F$200,$A14)</f>
        <v>0.5</v>
      </c>
      <c r="F14" s="22" t="n">
        <f aca="false">SUMIFS(Match_Log!$L$5:$L$200,Match_Log!$A$5:$A$200,3,Match_Log!$C$5:$C$200,$A14)+SUMIFS(Match_Log!$L$5:$L$200,Match_Log!$A$5:$A$200,3,Match_Log!$D$5:$D$200,$A14)+SUMIFS(Match_Log!$M$5:$M$200,Match_Log!$A$5:$A$200,3,Match_Log!$E$5:$E$200,$A14)+SUMIFS(Match_Log!$M$5:$M$200,Match_Log!$A$5:$A$200,3,Match_Log!$F$5:$F$200,$A14)</f>
        <v>1</v>
      </c>
      <c r="G14" s="22" t="n">
        <f aca="false">SUMIFS(Match_Log!$L$5:$L$200,Match_Log!$A$5:$A$200,4,Match_Log!$C$5:$C$200,$A14)+SUMIFS(Match_Log!$L$5:$L$200,Match_Log!$A$5:$A$200,4,Match_Log!$D$5:$D$200,$A14)+SUMIFS(Match_Log!$M$5:$M$200,Match_Log!$A$5:$A$200,4,Match_Log!$E$5:$E$200,$A14)+SUMIFS(Match_Log!$M$5:$M$200,Match_Log!$A$5:$A$200,4,Match_Log!$F$5:$F$200,$A14)</f>
        <v>0</v>
      </c>
      <c r="H14" s="22" t="n">
        <f aca="false">SUMIFS(Match_Log!$L$5:$L$200,Match_Log!$A$5:$A$200,5,Match_Log!$C$5:$C$200,$A14)+SUMIFS(Match_Log!$L$5:$L$200,Match_Log!$A$5:$A$200,5,Match_Log!$D$5:$D$200,$A14)+SUMIFS(Match_Log!$M$5:$M$200,Match_Log!$A$5:$A$200,5,Match_Log!$E$5:$E$200,$A14)+SUMIFS(Match_Log!$M$5:$M$200,Match_Log!$A$5:$A$200,5,Match_Log!$F$5:$F$200,$A14)</f>
        <v>0.5</v>
      </c>
      <c r="I14" s="22" t="n">
        <f aca="false">SUMIFS(Match_Log!$L$5:$L$200,Match_Log!$A$5:$A$200,6,Match_Log!$C$5:$C$200,$A14)+SUMIFS(Match_Log!$L$5:$L$200,Match_Log!$A$5:$A$200,6,Match_Log!$D$5:$D$200,$A14)+SUMIFS(Match_Log!$M$5:$M$200,Match_Log!$A$5:$A$200,6,Match_Log!$E$5:$E$200,$A14)+SUMIFS(Match_Log!$M$5:$M$200,Match_Log!$A$5:$A$200,6,Match_Log!$F$5:$F$200,$A14)</f>
        <v>0.5</v>
      </c>
      <c r="J14" s="22" t="n">
        <f aca="false">SUMIFS(Match_Log!$L$5:$L$200,Match_Log!$A$5:$A$200,7,Match_Log!$C$5:$C$200,$A14)+SUMIFS(Match_Log!$L$5:$L$200,Match_Log!$A$5:$A$200,7,Match_Log!$D$5:$D$200,$A14)+SUMIFS(Match_Log!$M$5:$M$200,Match_Log!$A$5:$A$200,7,Match_Log!$E$5:$E$200,$A14)+SUMIFS(Match_Log!$M$5:$M$200,Match_Log!$A$5:$A$200,7,Match_Log!$F$5:$F$200,$A14)</f>
        <v>0.25</v>
      </c>
      <c r="K14" s="22" t="n">
        <f aca="false">SUMIFS(Match_Log!$L$5:$L$200,Match_Log!$A$5:$A$200,8,Match_Log!$C$5:$C$200,$A14)+SUMIFS(Match_Log!$L$5:$L$200,Match_Log!$A$5:$A$200,8,Match_Log!$D$5:$D$200,$A14)+SUMIFS(Match_Log!$M$5:$M$200,Match_Log!$A$5:$A$200,8,Match_Log!$E$5:$E$200,$A14)+SUMIFS(Match_Log!$M$5:$M$200,Match_Log!$A$5:$A$200,8,Match_Log!$F$5:$F$200,$A14)</f>
        <v>0</v>
      </c>
      <c r="L14" s="22" t="n">
        <f aca="false">SUMIFS(Match_Log!$L$5:$L$200,Match_Log!$A$5:$A$200,9,Match_Log!$C$5:$C$200,$A14)+SUMIFS(Match_Log!$L$5:$L$200,Match_Log!$A$5:$A$200,9,Match_Log!$D$5:$D$200,$A14)+SUMIFS(Match_Log!$M$5:$M$200,Match_Log!$A$5:$A$200,9,Match_Log!$E$5:$E$200,$A14)+SUMIFS(Match_Log!$M$5:$M$200,Match_Log!$A$5:$A$200,9,Match_Log!$F$5:$F$200,$A14)</f>
        <v>0</v>
      </c>
      <c r="M14" s="22" t="n">
        <f aca="false">SUMIFS(Match_Log!$L$5:$L$200,Match_Log!$A$5:$A$200,10,Match_Log!$C$5:$C$200,$A14)+SUMIFS(Match_Log!$L$5:$L$200,Match_Log!$A$5:$A$200,10,Match_Log!$D$5:$D$200,$A14)+SUMIFS(Match_Log!$M$5:$M$200,Match_Log!$A$5:$A$200,10,Match_Log!$E$5:$E$200,$A14)+SUMIFS(Match_Log!$M$5:$M$200,Match_Log!$A$5:$A$200,10,Match_Log!$F$5:$F$200,$A14)</f>
        <v>0</v>
      </c>
      <c r="N14" s="23" t="n">
        <f aca="false">SUM(D14:M14)</f>
        <v>3.25</v>
      </c>
      <c r="O14" s="24" t="n">
        <f aca="false">SUMIFS(Match_Log!$K$5:$K$200,Match_Log!$C$5:$C$200,$A14)+SUMIFS(Match_Log!$K$5:$K$200,Match_Log!$D$5:$D$200,$A14)-SUMIFS(Match_Log!$K$5:$K$200,Match_Log!$E$5:$E$200,$A14)-SUMIFS(Match_Log!$K$5:$K$200,Match_Log!$F$5:$F$200,$A14)</f>
        <v>8</v>
      </c>
      <c r="P14" s="15" t="n">
        <f aca="false">COUNTIFS($C$5:$C$20,C14,$N$5:$N$20,"&gt;"&amp;N14)+COUNTIFS($C$5:$C$20,C14,$N$5:$N$20,N14,$O$5:$O$20,"&gt;"&amp;O14)+1</f>
        <v>3</v>
      </c>
    </row>
    <row r="15" customFormat="false" ht="15" hidden="false" customHeight="false" outlineLevel="0" collapsed="false">
      <c r="A15" s="13" t="s">
        <v>72</v>
      </c>
      <c r="B15" s="14" t="s">
        <v>73</v>
      </c>
      <c r="C15" s="15" t="s">
        <v>69</v>
      </c>
      <c r="D15" s="22" t="n">
        <f aca="false">SUMIFS(Match_Log!$L$5:$L$200,Match_Log!$A$5:$A$200,1,Match_Log!$C$5:$C$200,$A15)+SUMIFS(Match_Log!$L$5:$L$200,Match_Log!$A$5:$A$200,1,Match_Log!$D$5:$D$200,$A15)+SUMIFS(Match_Log!$M$5:$M$200,Match_Log!$A$5:$A$200,1,Match_Log!$E$5:$E$200,$A15)+SUMIFS(Match_Log!$M$5:$M$200,Match_Log!$A$5:$A$200,1,Match_Log!$F$5:$F$200,$A15)</f>
        <v>0.5</v>
      </c>
      <c r="E15" s="22" t="n">
        <f aca="false">SUMIFS(Match_Log!$L$5:$L$200,Match_Log!$A$5:$A$200,2,Match_Log!$C$5:$C$200,$A15)+SUMIFS(Match_Log!$L$5:$L$200,Match_Log!$A$5:$A$200,2,Match_Log!$D$5:$D$200,$A15)+SUMIFS(Match_Log!$M$5:$M$200,Match_Log!$A$5:$A$200,2,Match_Log!$E$5:$E$200,$A15)+SUMIFS(Match_Log!$M$5:$M$200,Match_Log!$A$5:$A$200,2,Match_Log!$F$5:$F$200,$A15)</f>
        <v>0.5</v>
      </c>
      <c r="F15" s="22" t="n">
        <f aca="false">SUMIFS(Match_Log!$L$5:$L$200,Match_Log!$A$5:$A$200,3,Match_Log!$C$5:$C$200,$A15)+SUMIFS(Match_Log!$L$5:$L$200,Match_Log!$A$5:$A$200,3,Match_Log!$D$5:$D$200,$A15)+SUMIFS(Match_Log!$M$5:$M$200,Match_Log!$A$5:$A$200,3,Match_Log!$E$5:$E$200,$A15)+SUMIFS(Match_Log!$M$5:$M$200,Match_Log!$A$5:$A$200,3,Match_Log!$F$5:$F$200,$A15)</f>
        <v>0</v>
      </c>
      <c r="G15" s="22" t="n">
        <f aca="false">SUMIFS(Match_Log!$L$5:$L$200,Match_Log!$A$5:$A$200,4,Match_Log!$C$5:$C$200,$A15)+SUMIFS(Match_Log!$L$5:$L$200,Match_Log!$A$5:$A$200,4,Match_Log!$D$5:$D$200,$A15)+SUMIFS(Match_Log!$M$5:$M$200,Match_Log!$A$5:$A$200,4,Match_Log!$E$5:$E$200,$A15)+SUMIFS(Match_Log!$M$5:$M$200,Match_Log!$A$5:$A$200,4,Match_Log!$F$5:$F$200,$A15)</f>
        <v>0</v>
      </c>
      <c r="H15" s="22" t="n">
        <f aca="false">SUMIFS(Match_Log!$L$5:$L$200,Match_Log!$A$5:$A$200,5,Match_Log!$C$5:$C$200,$A15)+SUMIFS(Match_Log!$L$5:$L$200,Match_Log!$A$5:$A$200,5,Match_Log!$D$5:$D$200,$A15)+SUMIFS(Match_Log!$M$5:$M$200,Match_Log!$A$5:$A$200,5,Match_Log!$E$5:$E$200,$A15)+SUMIFS(Match_Log!$M$5:$M$200,Match_Log!$A$5:$A$200,5,Match_Log!$F$5:$F$200,$A15)</f>
        <v>0.25</v>
      </c>
      <c r="I15" s="22" t="n">
        <f aca="false">SUMIFS(Match_Log!$L$5:$L$200,Match_Log!$A$5:$A$200,6,Match_Log!$C$5:$C$200,$A15)+SUMIFS(Match_Log!$L$5:$L$200,Match_Log!$A$5:$A$200,6,Match_Log!$D$5:$D$200,$A15)+SUMIFS(Match_Log!$M$5:$M$200,Match_Log!$A$5:$A$200,6,Match_Log!$E$5:$E$200,$A15)+SUMIFS(Match_Log!$M$5:$M$200,Match_Log!$A$5:$A$200,6,Match_Log!$F$5:$F$200,$A15)</f>
        <v>0</v>
      </c>
      <c r="J15" s="22" t="n">
        <f aca="false">SUMIFS(Match_Log!$L$5:$L$200,Match_Log!$A$5:$A$200,7,Match_Log!$C$5:$C$200,$A15)+SUMIFS(Match_Log!$L$5:$L$200,Match_Log!$A$5:$A$200,7,Match_Log!$D$5:$D$200,$A15)+SUMIFS(Match_Log!$M$5:$M$200,Match_Log!$A$5:$A$200,7,Match_Log!$E$5:$E$200,$A15)+SUMIFS(Match_Log!$M$5:$M$200,Match_Log!$A$5:$A$200,7,Match_Log!$F$5:$F$200,$A15)</f>
        <v>0</v>
      </c>
      <c r="K15" s="22" t="n">
        <f aca="false">SUMIFS(Match_Log!$L$5:$L$200,Match_Log!$A$5:$A$200,8,Match_Log!$C$5:$C$200,$A15)+SUMIFS(Match_Log!$L$5:$L$200,Match_Log!$A$5:$A$200,8,Match_Log!$D$5:$D$200,$A15)+SUMIFS(Match_Log!$M$5:$M$200,Match_Log!$A$5:$A$200,8,Match_Log!$E$5:$E$200,$A15)+SUMIFS(Match_Log!$M$5:$M$200,Match_Log!$A$5:$A$200,8,Match_Log!$F$5:$F$200,$A15)</f>
        <v>0</v>
      </c>
      <c r="L15" s="22" t="n">
        <f aca="false">SUMIFS(Match_Log!$L$5:$L$200,Match_Log!$A$5:$A$200,9,Match_Log!$C$5:$C$200,$A15)+SUMIFS(Match_Log!$L$5:$L$200,Match_Log!$A$5:$A$200,9,Match_Log!$D$5:$D$200,$A15)+SUMIFS(Match_Log!$M$5:$M$200,Match_Log!$A$5:$A$200,9,Match_Log!$E$5:$E$200,$A15)+SUMIFS(Match_Log!$M$5:$M$200,Match_Log!$A$5:$A$200,9,Match_Log!$F$5:$F$200,$A15)</f>
        <v>0</v>
      </c>
      <c r="M15" s="22" t="n">
        <f aca="false">SUMIFS(Match_Log!$L$5:$L$200,Match_Log!$A$5:$A$200,10,Match_Log!$C$5:$C$200,$A15)+SUMIFS(Match_Log!$L$5:$L$200,Match_Log!$A$5:$A$200,10,Match_Log!$D$5:$D$200,$A15)+SUMIFS(Match_Log!$M$5:$M$200,Match_Log!$A$5:$A$200,10,Match_Log!$E$5:$E$200,$A15)+SUMIFS(Match_Log!$M$5:$M$200,Match_Log!$A$5:$A$200,10,Match_Log!$F$5:$F$200,$A15)</f>
        <v>0</v>
      </c>
      <c r="N15" s="23" t="n">
        <f aca="false">SUM(D15:M15)</f>
        <v>1.25</v>
      </c>
      <c r="O15" s="24" t="n">
        <f aca="false">SUMIFS(Match_Log!$K$5:$K$200,Match_Log!$C$5:$C$200,$A15)+SUMIFS(Match_Log!$K$5:$K$200,Match_Log!$D$5:$D$200,$A15)-SUMIFS(Match_Log!$K$5:$K$200,Match_Log!$E$5:$E$200,$A15)-SUMIFS(Match_Log!$K$5:$K$200,Match_Log!$F$5:$F$200,$A15)</f>
        <v>-4</v>
      </c>
      <c r="P15" s="15" t="n">
        <f aca="false">COUNTIFS($C$5:$C$20,C15,$N$5:$N$20,"&gt;"&amp;N15)+COUNTIFS($C$5:$C$20,C15,$N$5:$N$20,N15,$O$5:$O$20,"&gt;"&amp;O15)+1</f>
        <v>5</v>
      </c>
    </row>
    <row r="16" customFormat="false" ht="15" hidden="false" customHeight="false" outlineLevel="0" collapsed="false">
      <c r="A16" s="13" t="s">
        <v>74</v>
      </c>
      <c r="B16" s="14" t="s">
        <v>75</v>
      </c>
      <c r="C16" s="15" t="s">
        <v>69</v>
      </c>
      <c r="D16" s="22" t="n">
        <f aca="false">SUMIFS(Match_Log!$L$5:$L$200,Match_Log!$A$5:$A$200,1,Match_Log!$C$5:$C$200,$A16)+SUMIFS(Match_Log!$L$5:$L$200,Match_Log!$A$5:$A$200,1,Match_Log!$D$5:$D$200,$A16)+SUMIFS(Match_Log!$M$5:$M$200,Match_Log!$A$5:$A$200,1,Match_Log!$E$5:$E$200,$A16)+SUMIFS(Match_Log!$M$5:$M$200,Match_Log!$A$5:$A$200,1,Match_Log!$F$5:$F$200,$A16)</f>
        <v>0.5</v>
      </c>
      <c r="E16" s="22" t="n">
        <f aca="false">SUMIFS(Match_Log!$L$5:$L$200,Match_Log!$A$5:$A$200,2,Match_Log!$C$5:$C$200,$A16)+SUMIFS(Match_Log!$L$5:$L$200,Match_Log!$A$5:$A$200,2,Match_Log!$D$5:$D$200,$A16)+SUMIFS(Match_Log!$M$5:$M$200,Match_Log!$A$5:$A$200,2,Match_Log!$E$5:$E$200,$A16)+SUMIFS(Match_Log!$M$5:$M$200,Match_Log!$A$5:$A$200,2,Match_Log!$F$5:$F$200,$A16)</f>
        <v>0</v>
      </c>
      <c r="F16" s="22" t="n">
        <f aca="false">SUMIFS(Match_Log!$L$5:$L$200,Match_Log!$A$5:$A$200,3,Match_Log!$C$5:$C$200,$A16)+SUMIFS(Match_Log!$L$5:$L$200,Match_Log!$A$5:$A$200,3,Match_Log!$D$5:$D$200,$A16)+SUMIFS(Match_Log!$M$5:$M$200,Match_Log!$A$5:$A$200,3,Match_Log!$E$5:$E$200,$A16)+SUMIFS(Match_Log!$M$5:$M$200,Match_Log!$A$5:$A$200,3,Match_Log!$F$5:$F$200,$A16)</f>
        <v>0</v>
      </c>
      <c r="G16" s="22" t="n">
        <f aca="false">SUMIFS(Match_Log!$L$5:$L$200,Match_Log!$A$5:$A$200,4,Match_Log!$C$5:$C$200,$A16)+SUMIFS(Match_Log!$L$5:$L$200,Match_Log!$A$5:$A$200,4,Match_Log!$D$5:$D$200,$A16)+SUMIFS(Match_Log!$M$5:$M$200,Match_Log!$A$5:$A$200,4,Match_Log!$E$5:$E$200,$A16)+SUMIFS(Match_Log!$M$5:$M$200,Match_Log!$A$5:$A$200,4,Match_Log!$F$5:$F$200,$A16)</f>
        <v>0</v>
      </c>
      <c r="H16" s="22" t="n">
        <f aca="false">SUMIFS(Match_Log!$L$5:$L$200,Match_Log!$A$5:$A$200,5,Match_Log!$C$5:$C$200,$A16)+SUMIFS(Match_Log!$L$5:$L$200,Match_Log!$A$5:$A$200,5,Match_Log!$D$5:$D$200,$A16)+SUMIFS(Match_Log!$M$5:$M$200,Match_Log!$A$5:$A$200,5,Match_Log!$E$5:$E$200,$A16)+SUMIFS(Match_Log!$M$5:$M$200,Match_Log!$A$5:$A$200,5,Match_Log!$F$5:$F$200,$A16)</f>
        <v>0.25</v>
      </c>
      <c r="I16" s="22" t="n">
        <f aca="false">SUMIFS(Match_Log!$L$5:$L$200,Match_Log!$A$5:$A$200,6,Match_Log!$C$5:$C$200,$A16)+SUMIFS(Match_Log!$L$5:$L$200,Match_Log!$A$5:$A$200,6,Match_Log!$D$5:$D$200,$A16)+SUMIFS(Match_Log!$M$5:$M$200,Match_Log!$A$5:$A$200,6,Match_Log!$E$5:$E$200,$A16)+SUMIFS(Match_Log!$M$5:$M$200,Match_Log!$A$5:$A$200,6,Match_Log!$F$5:$F$200,$A16)</f>
        <v>0</v>
      </c>
      <c r="J16" s="22" t="n">
        <f aca="false">SUMIFS(Match_Log!$L$5:$L$200,Match_Log!$A$5:$A$200,7,Match_Log!$C$5:$C$200,$A16)+SUMIFS(Match_Log!$L$5:$L$200,Match_Log!$A$5:$A$200,7,Match_Log!$D$5:$D$200,$A16)+SUMIFS(Match_Log!$M$5:$M$200,Match_Log!$A$5:$A$200,7,Match_Log!$E$5:$E$200,$A16)+SUMIFS(Match_Log!$M$5:$M$200,Match_Log!$A$5:$A$200,7,Match_Log!$F$5:$F$200,$A16)</f>
        <v>0</v>
      </c>
      <c r="K16" s="22" t="n">
        <f aca="false">SUMIFS(Match_Log!$L$5:$L$200,Match_Log!$A$5:$A$200,8,Match_Log!$C$5:$C$200,$A16)+SUMIFS(Match_Log!$L$5:$L$200,Match_Log!$A$5:$A$200,8,Match_Log!$D$5:$D$200,$A16)+SUMIFS(Match_Log!$M$5:$M$200,Match_Log!$A$5:$A$200,8,Match_Log!$E$5:$E$200,$A16)+SUMIFS(Match_Log!$M$5:$M$200,Match_Log!$A$5:$A$200,8,Match_Log!$F$5:$F$200,$A16)</f>
        <v>0</v>
      </c>
      <c r="L16" s="22" t="n">
        <f aca="false">SUMIFS(Match_Log!$L$5:$L$200,Match_Log!$A$5:$A$200,9,Match_Log!$C$5:$C$200,$A16)+SUMIFS(Match_Log!$L$5:$L$200,Match_Log!$A$5:$A$200,9,Match_Log!$D$5:$D$200,$A16)+SUMIFS(Match_Log!$M$5:$M$200,Match_Log!$A$5:$A$200,9,Match_Log!$E$5:$E$200,$A16)+SUMIFS(Match_Log!$M$5:$M$200,Match_Log!$A$5:$A$200,9,Match_Log!$F$5:$F$200,$A16)</f>
        <v>0</v>
      </c>
      <c r="M16" s="22" t="n">
        <f aca="false">SUMIFS(Match_Log!$L$5:$L$200,Match_Log!$A$5:$A$200,10,Match_Log!$C$5:$C$200,$A16)+SUMIFS(Match_Log!$L$5:$L$200,Match_Log!$A$5:$A$200,10,Match_Log!$D$5:$D$200,$A16)+SUMIFS(Match_Log!$M$5:$M$200,Match_Log!$A$5:$A$200,10,Match_Log!$E$5:$E$200,$A16)+SUMIFS(Match_Log!$M$5:$M$200,Match_Log!$A$5:$A$200,10,Match_Log!$F$5:$F$200,$A16)</f>
        <v>0</v>
      </c>
      <c r="N16" s="23" t="n">
        <f aca="false">SUM(D16:M16)</f>
        <v>0.75</v>
      </c>
      <c r="O16" s="24" t="n">
        <f aca="false">SUMIFS(Match_Log!$K$5:$K$200,Match_Log!$C$5:$C$200,$A16)+SUMIFS(Match_Log!$K$5:$K$200,Match_Log!$D$5:$D$200,$A16)-SUMIFS(Match_Log!$K$5:$K$200,Match_Log!$E$5:$E$200,$A16)-SUMIFS(Match_Log!$K$5:$K$200,Match_Log!$F$5:$F$200,$A16)</f>
        <v>-14</v>
      </c>
      <c r="P16" s="15" t="n">
        <f aca="false">COUNTIFS($C$5:$C$20,C16,$N$5:$N$20,"&gt;"&amp;N16)+COUNTIFS($C$5:$C$20,C16,$N$5:$N$20,N16,$O$5:$O$20,"&gt;"&amp;O16)+1</f>
        <v>7</v>
      </c>
    </row>
    <row r="17" customFormat="false" ht="15" hidden="false" customHeight="false" outlineLevel="0" collapsed="false">
      <c r="A17" s="13" t="s">
        <v>76</v>
      </c>
      <c r="B17" s="14" t="s">
        <v>77</v>
      </c>
      <c r="C17" s="15" t="s">
        <v>69</v>
      </c>
      <c r="D17" s="22" t="n">
        <f aca="false">SUMIFS(Match_Log!$L$5:$L$200,Match_Log!$A$5:$A$200,1,Match_Log!$C$5:$C$200,$A17)+SUMIFS(Match_Log!$L$5:$L$200,Match_Log!$A$5:$A$200,1,Match_Log!$D$5:$D$200,$A17)+SUMIFS(Match_Log!$M$5:$M$200,Match_Log!$A$5:$A$200,1,Match_Log!$E$5:$E$200,$A17)+SUMIFS(Match_Log!$M$5:$M$200,Match_Log!$A$5:$A$200,1,Match_Log!$F$5:$F$200,$A17)</f>
        <v>0.5</v>
      </c>
      <c r="E17" s="22" t="n">
        <f aca="false">SUMIFS(Match_Log!$L$5:$L$200,Match_Log!$A$5:$A$200,2,Match_Log!$C$5:$C$200,$A17)+SUMIFS(Match_Log!$L$5:$L$200,Match_Log!$A$5:$A$200,2,Match_Log!$D$5:$D$200,$A17)+SUMIFS(Match_Log!$M$5:$M$200,Match_Log!$A$5:$A$200,2,Match_Log!$E$5:$E$200,$A17)+SUMIFS(Match_Log!$M$5:$M$200,Match_Log!$A$5:$A$200,2,Match_Log!$F$5:$F$200,$A17)</f>
        <v>0.5</v>
      </c>
      <c r="F17" s="22" t="n">
        <f aca="false">SUMIFS(Match_Log!$L$5:$L$200,Match_Log!$A$5:$A$200,3,Match_Log!$C$5:$C$200,$A17)+SUMIFS(Match_Log!$L$5:$L$200,Match_Log!$A$5:$A$200,3,Match_Log!$D$5:$D$200,$A17)+SUMIFS(Match_Log!$M$5:$M$200,Match_Log!$A$5:$A$200,3,Match_Log!$E$5:$E$200,$A17)+SUMIFS(Match_Log!$M$5:$M$200,Match_Log!$A$5:$A$200,3,Match_Log!$F$5:$F$200,$A17)</f>
        <v>0</v>
      </c>
      <c r="G17" s="22" t="n">
        <f aca="false">SUMIFS(Match_Log!$L$5:$L$200,Match_Log!$A$5:$A$200,4,Match_Log!$C$5:$C$200,$A17)+SUMIFS(Match_Log!$L$5:$L$200,Match_Log!$A$5:$A$200,4,Match_Log!$D$5:$D$200,$A17)+SUMIFS(Match_Log!$M$5:$M$200,Match_Log!$A$5:$A$200,4,Match_Log!$E$5:$E$200,$A17)+SUMIFS(Match_Log!$M$5:$M$200,Match_Log!$A$5:$A$200,4,Match_Log!$F$5:$F$200,$A17)</f>
        <v>0.5</v>
      </c>
      <c r="H17" s="22" t="n">
        <f aca="false">SUMIFS(Match_Log!$L$5:$L$200,Match_Log!$A$5:$A$200,5,Match_Log!$C$5:$C$200,$A17)+SUMIFS(Match_Log!$L$5:$L$200,Match_Log!$A$5:$A$200,5,Match_Log!$D$5:$D$200,$A17)+SUMIFS(Match_Log!$M$5:$M$200,Match_Log!$A$5:$A$200,5,Match_Log!$E$5:$E$200,$A17)+SUMIFS(Match_Log!$M$5:$M$200,Match_Log!$A$5:$A$200,5,Match_Log!$F$5:$F$200,$A17)</f>
        <v>0.25</v>
      </c>
      <c r="I17" s="22" t="n">
        <f aca="false">SUMIFS(Match_Log!$L$5:$L$200,Match_Log!$A$5:$A$200,6,Match_Log!$C$5:$C$200,$A17)+SUMIFS(Match_Log!$L$5:$L$200,Match_Log!$A$5:$A$200,6,Match_Log!$D$5:$D$200,$A17)+SUMIFS(Match_Log!$M$5:$M$200,Match_Log!$A$5:$A$200,6,Match_Log!$E$5:$E$200,$A17)+SUMIFS(Match_Log!$M$5:$M$200,Match_Log!$A$5:$A$200,6,Match_Log!$F$5:$F$200,$A17)</f>
        <v>1</v>
      </c>
      <c r="J17" s="22" t="n">
        <f aca="false">SUMIFS(Match_Log!$L$5:$L$200,Match_Log!$A$5:$A$200,7,Match_Log!$C$5:$C$200,$A17)+SUMIFS(Match_Log!$L$5:$L$200,Match_Log!$A$5:$A$200,7,Match_Log!$D$5:$D$200,$A17)+SUMIFS(Match_Log!$M$5:$M$200,Match_Log!$A$5:$A$200,7,Match_Log!$E$5:$E$200,$A17)+SUMIFS(Match_Log!$M$5:$M$200,Match_Log!$A$5:$A$200,7,Match_Log!$F$5:$F$200,$A17)</f>
        <v>0.5</v>
      </c>
      <c r="K17" s="22" t="n">
        <f aca="false">SUMIFS(Match_Log!$L$5:$L$200,Match_Log!$A$5:$A$200,8,Match_Log!$C$5:$C$200,$A17)+SUMIFS(Match_Log!$L$5:$L$200,Match_Log!$A$5:$A$200,8,Match_Log!$D$5:$D$200,$A17)+SUMIFS(Match_Log!$M$5:$M$200,Match_Log!$A$5:$A$200,8,Match_Log!$E$5:$E$200,$A17)+SUMIFS(Match_Log!$M$5:$M$200,Match_Log!$A$5:$A$200,8,Match_Log!$F$5:$F$200,$A17)</f>
        <v>0</v>
      </c>
      <c r="L17" s="22" t="n">
        <f aca="false">SUMIFS(Match_Log!$L$5:$L$200,Match_Log!$A$5:$A$200,9,Match_Log!$C$5:$C$200,$A17)+SUMIFS(Match_Log!$L$5:$L$200,Match_Log!$A$5:$A$200,9,Match_Log!$D$5:$D$200,$A17)+SUMIFS(Match_Log!$M$5:$M$200,Match_Log!$A$5:$A$200,9,Match_Log!$E$5:$E$200,$A17)+SUMIFS(Match_Log!$M$5:$M$200,Match_Log!$A$5:$A$200,9,Match_Log!$F$5:$F$200,$A17)</f>
        <v>0</v>
      </c>
      <c r="M17" s="22" t="n">
        <f aca="false">SUMIFS(Match_Log!$L$5:$L$200,Match_Log!$A$5:$A$200,10,Match_Log!$C$5:$C$200,$A17)+SUMIFS(Match_Log!$L$5:$L$200,Match_Log!$A$5:$A$200,10,Match_Log!$D$5:$D$200,$A17)+SUMIFS(Match_Log!$M$5:$M$200,Match_Log!$A$5:$A$200,10,Match_Log!$E$5:$E$200,$A17)+SUMIFS(Match_Log!$M$5:$M$200,Match_Log!$A$5:$A$200,10,Match_Log!$F$5:$F$200,$A17)</f>
        <v>0</v>
      </c>
      <c r="N17" s="23" t="n">
        <f aca="false">SUM(D17:M17)</f>
        <v>3.25</v>
      </c>
      <c r="O17" s="24" t="n">
        <f aca="false">SUMIFS(Match_Log!$K$5:$K$200,Match_Log!$C$5:$C$200,$A17)+SUMIFS(Match_Log!$K$5:$K$200,Match_Log!$D$5:$D$200,$A17)-SUMIFS(Match_Log!$K$5:$K$200,Match_Log!$E$5:$E$200,$A17)-SUMIFS(Match_Log!$K$5:$K$200,Match_Log!$F$5:$F$200,$A17)</f>
        <v>13</v>
      </c>
      <c r="P17" s="15" t="n">
        <f aca="false">COUNTIFS($C$5:$C$20,C17,$N$5:$N$20,"&gt;"&amp;N17)+COUNTIFS($C$5:$C$20,C17,$N$5:$N$20,N17,$O$5:$O$20,"&gt;"&amp;O17)+1</f>
        <v>2</v>
      </c>
    </row>
    <row r="18" customFormat="false" ht="15" hidden="false" customHeight="false" outlineLevel="0" collapsed="false">
      <c r="A18" s="13" t="s">
        <v>78</v>
      </c>
      <c r="B18" s="14" t="s">
        <v>79</v>
      </c>
      <c r="C18" s="15" t="s">
        <v>69</v>
      </c>
      <c r="D18" s="22" t="n">
        <f aca="false">SUMIFS(Match_Log!$L$5:$L$200,Match_Log!$A$5:$A$200,1,Match_Log!$C$5:$C$200,$A18)+SUMIFS(Match_Log!$L$5:$L$200,Match_Log!$A$5:$A$200,1,Match_Log!$D$5:$D$200,$A18)+SUMIFS(Match_Log!$M$5:$M$200,Match_Log!$A$5:$A$200,1,Match_Log!$E$5:$E$200,$A18)+SUMIFS(Match_Log!$M$5:$M$200,Match_Log!$A$5:$A$200,1,Match_Log!$F$5:$F$200,$A18)</f>
        <v>0.5</v>
      </c>
      <c r="E18" s="22" t="n">
        <f aca="false">SUMIFS(Match_Log!$L$5:$L$200,Match_Log!$A$5:$A$200,2,Match_Log!$C$5:$C$200,$A18)+SUMIFS(Match_Log!$L$5:$L$200,Match_Log!$A$5:$A$200,2,Match_Log!$D$5:$D$200,$A18)+SUMIFS(Match_Log!$M$5:$M$200,Match_Log!$A$5:$A$200,2,Match_Log!$E$5:$E$200,$A18)+SUMIFS(Match_Log!$M$5:$M$200,Match_Log!$A$5:$A$200,2,Match_Log!$F$5:$F$200,$A18)</f>
        <v>0</v>
      </c>
      <c r="F18" s="22" t="n">
        <f aca="false">SUMIFS(Match_Log!$L$5:$L$200,Match_Log!$A$5:$A$200,3,Match_Log!$C$5:$C$200,$A18)+SUMIFS(Match_Log!$L$5:$L$200,Match_Log!$A$5:$A$200,3,Match_Log!$D$5:$D$200,$A18)+SUMIFS(Match_Log!$M$5:$M$200,Match_Log!$A$5:$A$200,3,Match_Log!$E$5:$E$200,$A18)+SUMIFS(Match_Log!$M$5:$M$200,Match_Log!$A$5:$A$200,3,Match_Log!$F$5:$F$200,$A18)</f>
        <v>1</v>
      </c>
      <c r="G18" s="22" t="n">
        <f aca="false">SUMIFS(Match_Log!$L$5:$L$200,Match_Log!$A$5:$A$200,4,Match_Log!$C$5:$C$200,$A18)+SUMIFS(Match_Log!$L$5:$L$200,Match_Log!$A$5:$A$200,4,Match_Log!$D$5:$D$200,$A18)+SUMIFS(Match_Log!$M$5:$M$200,Match_Log!$A$5:$A$200,4,Match_Log!$E$5:$E$200,$A18)+SUMIFS(Match_Log!$M$5:$M$200,Match_Log!$A$5:$A$200,4,Match_Log!$F$5:$F$200,$A18)</f>
        <v>0.5</v>
      </c>
      <c r="H18" s="22" t="n">
        <f aca="false">SUMIFS(Match_Log!$L$5:$L$200,Match_Log!$A$5:$A$200,5,Match_Log!$C$5:$C$200,$A18)+SUMIFS(Match_Log!$L$5:$L$200,Match_Log!$A$5:$A$200,5,Match_Log!$D$5:$D$200,$A18)+SUMIFS(Match_Log!$M$5:$M$200,Match_Log!$A$5:$A$200,5,Match_Log!$E$5:$E$200,$A18)+SUMIFS(Match_Log!$M$5:$M$200,Match_Log!$A$5:$A$200,5,Match_Log!$F$5:$F$200,$A18)</f>
        <v>0</v>
      </c>
      <c r="I18" s="22" t="n">
        <f aca="false">SUMIFS(Match_Log!$L$5:$L$200,Match_Log!$A$5:$A$200,6,Match_Log!$C$5:$C$200,$A18)+SUMIFS(Match_Log!$L$5:$L$200,Match_Log!$A$5:$A$200,6,Match_Log!$D$5:$D$200,$A18)+SUMIFS(Match_Log!$M$5:$M$200,Match_Log!$A$5:$A$200,6,Match_Log!$E$5:$E$200,$A18)+SUMIFS(Match_Log!$M$5:$M$200,Match_Log!$A$5:$A$200,6,Match_Log!$F$5:$F$200,$A18)</f>
        <v>1</v>
      </c>
      <c r="J18" s="22" t="n">
        <f aca="false">SUMIFS(Match_Log!$L$5:$L$200,Match_Log!$A$5:$A$200,7,Match_Log!$C$5:$C$200,$A18)+SUMIFS(Match_Log!$L$5:$L$200,Match_Log!$A$5:$A$200,7,Match_Log!$D$5:$D$200,$A18)+SUMIFS(Match_Log!$M$5:$M$200,Match_Log!$A$5:$A$200,7,Match_Log!$E$5:$E$200,$A18)+SUMIFS(Match_Log!$M$5:$M$200,Match_Log!$A$5:$A$200,7,Match_Log!$F$5:$F$200,$A18)</f>
        <v>0</v>
      </c>
      <c r="K18" s="22" t="n">
        <f aca="false">SUMIFS(Match_Log!$L$5:$L$200,Match_Log!$A$5:$A$200,8,Match_Log!$C$5:$C$200,$A18)+SUMIFS(Match_Log!$L$5:$L$200,Match_Log!$A$5:$A$200,8,Match_Log!$D$5:$D$200,$A18)+SUMIFS(Match_Log!$M$5:$M$200,Match_Log!$A$5:$A$200,8,Match_Log!$E$5:$E$200,$A18)+SUMIFS(Match_Log!$M$5:$M$200,Match_Log!$A$5:$A$200,8,Match_Log!$F$5:$F$200,$A18)</f>
        <v>0.5</v>
      </c>
      <c r="L18" s="22" t="n">
        <f aca="false">SUMIFS(Match_Log!$L$5:$L$200,Match_Log!$A$5:$A$200,9,Match_Log!$C$5:$C$200,$A18)+SUMIFS(Match_Log!$L$5:$L$200,Match_Log!$A$5:$A$200,9,Match_Log!$D$5:$D$200,$A18)+SUMIFS(Match_Log!$M$5:$M$200,Match_Log!$A$5:$A$200,9,Match_Log!$E$5:$E$200,$A18)+SUMIFS(Match_Log!$M$5:$M$200,Match_Log!$A$5:$A$200,9,Match_Log!$F$5:$F$200,$A18)</f>
        <v>0</v>
      </c>
      <c r="M18" s="22" t="n">
        <f aca="false">SUMIFS(Match_Log!$L$5:$L$200,Match_Log!$A$5:$A$200,10,Match_Log!$C$5:$C$200,$A18)+SUMIFS(Match_Log!$L$5:$L$200,Match_Log!$A$5:$A$200,10,Match_Log!$D$5:$D$200,$A18)+SUMIFS(Match_Log!$M$5:$M$200,Match_Log!$A$5:$A$200,10,Match_Log!$E$5:$E$200,$A18)+SUMIFS(Match_Log!$M$5:$M$200,Match_Log!$A$5:$A$200,10,Match_Log!$F$5:$F$200,$A18)</f>
        <v>0</v>
      </c>
      <c r="N18" s="23" t="n">
        <f aca="false">SUM(D18:M18)</f>
        <v>3.5</v>
      </c>
      <c r="O18" s="24" t="n">
        <f aca="false">SUMIFS(Match_Log!$K$5:$K$200,Match_Log!$C$5:$C$200,$A18)+SUMIFS(Match_Log!$K$5:$K$200,Match_Log!$D$5:$D$200,$A18)-SUMIFS(Match_Log!$K$5:$K$200,Match_Log!$E$5:$E$200,$A18)-SUMIFS(Match_Log!$K$5:$K$200,Match_Log!$F$5:$F$200,$A18)</f>
        <v>11</v>
      </c>
      <c r="P18" s="15" t="n">
        <f aca="false">COUNTIFS($C$5:$C$20,C18,$N$5:$N$20,"&gt;"&amp;N18)+COUNTIFS($C$5:$C$20,C18,$N$5:$N$20,N18,$O$5:$O$20,"&gt;"&amp;O18)+1</f>
        <v>1</v>
      </c>
    </row>
    <row r="19" customFormat="false" ht="15" hidden="false" customHeight="false" outlineLevel="0" collapsed="false">
      <c r="A19" s="13" t="s">
        <v>80</v>
      </c>
      <c r="B19" s="14" t="s">
        <v>81</v>
      </c>
      <c r="C19" s="15" t="s">
        <v>69</v>
      </c>
      <c r="D19" s="22" t="n">
        <f aca="false">SUMIFS(Match_Log!$L$5:$L$200,Match_Log!$A$5:$A$200,1,Match_Log!$C$5:$C$200,$A19)+SUMIFS(Match_Log!$L$5:$L$200,Match_Log!$A$5:$A$200,1,Match_Log!$D$5:$D$200,$A19)+SUMIFS(Match_Log!$M$5:$M$200,Match_Log!$A$5:$A$200,1,Match_Log!$E$5:$E$200,$A19)+SUMIFS(Match_Log!$M$5:$M$200,Match_Log!$A$5:$A$200,1,Match_Log!$F$5:$F$200,$A19)</f>
        <v>0</v>
      </c>
      <c r="E19" s="22" t="n">
        <f aca="false">SUMIFS(Match_Log!$L$5:$L$200,Match_Log!$A$5:$A$200,2,Match_Log!$C$5:$C$200,$A19)+SUMIFS(Match_Log!$L$5:$L$200,Match_Log!$A$5:$A$200,2,Match_Log!$D$5:$D$200,$A19)+SUMIFS(Match_Log!$M$5:$M$200,Match_Log!$A$5:$A$200,2,Match_Log!$E$5:$E$200,$A19)+SUMIFS(Match_Log!$M$5:$M$200,Match_Log!$A$5:$A$200,2,Match_Log!$F$5:$F$200,$A19)</f>
        <v>0</v>
      </c>
      <c r="F19" s="22" t="n">
        <f aca="false">SUMIFS(Match_Log!$L$5:$L$200,Match_Log!$A$5:$A$200,3,Match_Log!$C$5:$C$200,$A19)+SUMIFS(Match_Log!$L$5:$L$200,Match_Log!$A$5:$A$200,3,Match_Log!$D$5:$D$200,$A19)+SUMIFS(Match_Log!$M$5:$M$200,Match_Log!$A$5:$A$200,3,Match_Log!$E$5:$E$200,$A19)+SUMIFS(Match_Log!$M$5:$M$200,Match_Log!$A$5:$A$200,3,Match_Log!$F$5:$F$200,$A19)</f>
        <v>0</v>
      </c>
      <c r="G19" s="22" t="n">
        <f aca="false">SUMIFS(Match_Log!$L$5:$L$200,Match_Log!$A$5:$A$200,4,Match_Log!$C$5:$C$200,$A19)+SUMIFS(Match_Log!$L$5:$L$200,Match_Log!$A$5:$A$200,4,Match_Log!$D$5:$D$200,$A19)+SUMIFS(Match_Log!$M$5:$M$200,Match_Log!$A$5:$A$200,4,Match_Log!$E$5:$E$200,$A19)+SUMIFS(Match_Log!$M$5:$M$200,Match_Log!$A$5:$A$200,4,Match_Log!$F$5:$F$200,$A19)</f>
        <v>0</v>
      </c>
      <c r="H19" s="22" t="n">
        <f aca="false">SUMIFS(Match_Log!$L$5:$L$200,Match_Log!$A$5:$A$200,5,Match_Log!$C$5:$C$200,$A19)+SUMIFS(Match_Log!$L$5:$L$200,Match_Log!$A$5:$A$200,5,Match_Log!$D$5:$D$200,$A19)+SUMIFS(Match_Log!$M$5:$M$200,Match_Log!$A$5:$A$200,5,Match_Log!$E$5:$E$200,$A19)+SUMIFS(Match_Log!$M$5:$M$200,Match_Log!$A$5:$A$200,5,Match_Log!$F$5:$F$200,$A19)</f>
        <v>0</v>
      </c>
      <c r="I19" s="22" t="n">
        <f aca="false">SUMIFS(Match_Log!$L$5:$L$200,Match_Log!$A$5:$A$200,6,Match_Log!$C$5:$C$200,$A19)+SUMIFS(Match_Log!$L$5:$L$200,Match_Log!$A$5:$A$200,6,Match_Log!$D$5:$D$200,$A19)+SUMIFS(Match_Log!$M$5:$M$200,Match_Log!$A$5:$A$200,6,Match_Log!$E$5:$E$200,$A19)+SUMIFS(Match_Log!$M$5:$M$200,Match_Log!$A$5:$A$200,6,Match_Log!$F$5:$F$200,$A19)</f>
        <v>0</v>
      </c>
      <c r="J19" s="22" t="n">
        <f aca="false">SUMIFS(Match_Log!$L$5:$L$200,Match_Log!$A$5:$A$200,7,Match_Log!$C$5:$C$200,$A19)+SUMIFS(Match_Log!$L$5:$L$200,Match_Log!$A$5:$A$200,7,Match_Log!$D$5:$D$200,$A19)+SUMIFS(Match_Log!$M$5:$M$200,Match_Log!$A$5:$A$200,7,Match_Log!$E$5:$E$200,$A19)+SUMIFS(Match_Log!$M$5:$M$200,Match_Log!$A$5:$A$200,7,Match_Log!$F$5:$F$200,$A19)</f>
        <v>0.25</v>
      </c>
      <c r="K19" s="22" t="n">
        <f aca="false">SUMIFS(Match_Log!$L$5:$L$200,Match_Log!$A$5:$A$200,8,Match_Log!$C$5:$C$200,$A19)+SUMIFS(Match_Log!$L$5:$L$200,Match_Log!$A$5:$A$200,8,Match_Log!$D$5:$D$200,$A19)+SUMIFS(Match_Log!$M$5:$M$200,Match_Log!$A$5:$A$200,8,Match_Log!$E$5:$E$200,$A19)+SUMIFS(Match_Log!$M$5:$M$200,Match_Log!$A$5:$A$200,8,Match_Log!$F$5:$F$200,$A19)</f>
        <v>0</v>
      </c>
      <c r="L19" s="22" t="n">
        <f aca="false">SUMIFS(Match_Log!$L$5:$L$200,Match_Log!$A$5:$A$200,9,Match_Log!$C$5:$C$200,$A19)+SUMIFS(Match_Log!$L$5:$L$200,Match_Log!$A$5:$A$200,9,Match_Log!$D$5:$D$200,$A19)+SUMIFS(Match_Log!$M$5:$M$200,Match_Log!$A$5:$A$200,9,Match_Log!$E$5:$E$200,$A19)+SUMIFS(Match_Log!$M$5:$M$200,Match_Log!$A$5:$A$200,9,Match_Log!$F$5:$F$200,$A19)</f>
        <v>0</v>
      </c>
      <c r="M19" s="22" t="n">
        <f aca="false">SUMIFS(Match_Log!$L$5:$L$200,Match_Log!$A$5:$A$200,10,Match_Log!$C$5:$C$200,$A19)+SUMIFS(Match_Log!$L$5:$L$200,Match_Log!$A$5:$A$200,10,Match_Log!$D$5:$D$200,$A19)+SUMIFS(Match_Log!$M$5:$M$200,Match_Log!$A$5:$A$200,10,Match_Log!$E$5:$E$200,$A19)+SUMIFS(Match_Log!$M$5:$M$200,Match_Log!$A$5:$A$200,10,Match_Log!$F$5:$F$200,$A19)</f>
        <v>0</v>
      </c>
      <c r="N19" s="23" t="n">
        <f aca="false">SUM(D19:M19)</f>
        <v>0.25</v>
      </c>
      <c r="O19" s="24" t="n">
        <f aca="false">SUMIFS(Match_Log!$K$5:$K$200,Match_Log!$C$5:$C$200,$A19)+SUMIFS(Match_Log!$K$5:$K$200,Match_Log!$D$5:$D$200,$A19)-SUMIFS(Match_Log!$K$5:$K$200,Match_Log!$E$5:$E$200,$A19)-SUMIFS(Match_Log!$K$5:$K$200,Match_Log!$F$5:$F$200,$A19)</f>
        <v>-11</v>
      </c>
      <c r="P19" s="15" t="n">
        <f aca="false">COUNTIFS($C$5:$C$20,C19,$N$5:$N$20,"&gt;"&amp;N19)+COUNTIFS($C$5:$C$20,C19,$N$5:$N$20,N19,$O$5:$O$20,"&gt;"&amp;O19)+1</f>
        <v>8</v>
      </c>
    </row>
    <row r="20" customFormat="false" ht="15" hidden="false" customHeight="false" outlineLevel="0" collapsed="false">
      <c r="A20" s="13" t="s">
        <v>82</v>
      </c>
      <c r="B20" s="14" t="s">
        <v>83</v>
      </c>
      <c r="C20" s="15" t="s">
        <v>69</v>
      </c>
      <c r="D20" s="22" t="n">
        <f aca="false">SUMIFS(Match_Log!$L$5:$L$200,Match_Log!$A$5:$A$200,1,Match_Log!$C$5:$C$200,$A20)+SUMIFS(Match_Log!$L$5:$L$200,Match_Log!$A$5:$A$200,1,Match_Log!$D$5:$D$200,$A20)+SUMIFS(Match_Log!$M$5:$M$200,Match_Log!$A$5:$A$200,1,Match_Log!$E$5:$E$200,$A20)+SUMIFS(Match_Log!$M$5:$M$200,Match_Log!$A$5:$A$200,1,Match_Log!$F$5:$F$200,$A20)</f>
        <v>0</v>
      </c>
      <c r="E20" s="22" t="n">
        <f aca="false">SUMIFS(Match_Log!$L$5:$L$200,Match_Log!$A$5:$A$200,2,Match_Log!$C$5:$C$200,$A20)+SUMIFS(Match_Log!$L$5:$L$200,Match_Log!$A$5:$A$200,2,Match_Log!$D$5:$D$200,$A20)+SUMIFS(Match_Log!$M$5:$M$200,Match_Log!$A$5:$A$200,2,Match_Log!$E$5:$E$200,$A20)+SUMIFS(Match_Log!$M$5:$M$200,Match_Log!$A$5:$A$200,2,Match_Log!$F$5:$F$200,$A20)</f>
        <v>0</v>
      </c>
      <c r="F20" s="22" t="n">
        <f aca="false">SUMIFS(Match_Log!$L$5:$L$200,Match_Log!$A$5:$A$200,3,Match_Log!$C$5:$C$200,$A20)+SUMIFS(Match_Log!$L$5:$L$200,Match_Log!$A$5:$A$200,3,Match_Log!$D$5:$D$200,$A20)+SUMIFS(Match_Log!$M$5:$M$200,Match_Log!$A$5:$A$200,3,Match_Log!$E$5:$E$200,$A20)+SUMIFS(Match_Log!$M$5:$M$200,Match_Log!$A$5:$A$200,3,Match_Log!$F$5:$F$200,$A20)</f>
        <v>1</v>
      </c>
      <c r="G20" s="22" t="n">
        <f aca="false">SUMIFS(Match_Log!$L$5:$L$200,Match_Log!$A$5:$A$200,4,Match_Log!$C$5:$C$200,$A20)+SUMIFS(Match_Log!$L$5:$L$200,Match_Log!$A$5:$A$200,4,Match_Log!$D$5:$D$200,$A20)+SUMIFS(Match_Log!$M$5:$M$200,Match_Log!$A$5:$A$200,4,Match_Log!$E$5:$E$200,$A20)+SUMIFS(Match_Log!$M$5:$M$200,Match_Log!$A$5:$A$200,4,Match_Log!$F$5:$F$200,$A20)</f>
        <v>0</v>
      </c>
      <c r="H20" s="22" t="n">
        <f aca="false">SUMIFS(Match_Log!$L$5:$L$200,Match_Log!$A$5:$A$200,5,Match_Log!$C$5:$C$200,$A20)+SUMIFS(Match_Log!$L$5:$L$200,Match_Log!$A$5:$A$200,5,Match_Log!$D$5:$D$200,$A20)+SUMIFS(Match_Log!$M$5:$M$200,Match_Log!$A$5:$A$200,5,Match_Log!$E$5:$E$200,$A20)+SUMIFS(Match_Log!$M$5:$M$200,Match_Log!$A$5:$A$200,5,Match_Log!$F$5:$F$200,$A20)</f>
        <v>0</v>
      </c>
      <c r="I20" s="22" t="n">
        <f aca="false">SUMIFS(Match_Log!$L$5:$L$200,Match_Log!$A$5:$A$200,6,Match_Log!$C$5:$C$200,$A20)+SUMIFS(Match_Log!$L$5:$L$200,Match_Log!$A$5:$A$200,6,Match_Log!$D$5:$D$200,$A20)+SUMIFS(Match_Log!$M$5:$M$200,Match_Log!$A$5:$A$200,6,Match_Log!$E$5:$E$200,$A20)+SUMIFS(Match_Log!$M$5:$M$200,Match_Log!$A$5:$A$200,6,Match_Log!$F$5:$F$200,$A20)</f>
        <v>0</v>
      </c>
      <c r="J20" s="22" t="n">
        <f aca="false">SUMIFS(Match_Log!$L$5:$L$200,Match_Log!$A$5:$A$200,7,Match_Log!$C$5:$C$200,$A20)+SUMIFS(Match_Log!$L$5:$L$200,Match_Log!$A$5:$A$200,7,Match_Log!$D$5:$D$200,$A20)+SUMIFS(Match_Log!$M$5:$M$200,Match_Log!$A$5:$A$200,7,Match_Log!$E$5:$E$200,$A20)+SUMIFS(Match_Log!$M$5:$M$200,Match_Log!$A$5:$A$200,7,Match_Log!$F$5:$F$200,$A20)</f>
        <v>0</v>
      </c>
      <c r="K20" s="22" t="n">
        <f aca="false">SUMIFS(Match_Log!$L$5:$L$200,Match_Log!$A$5:$A$200,8,Match_Log!$C$5:$C$200,$A20)+SUMIFS(Match_Log!$L$5:$L$200,Match_Log!$A$5:$A$200,8,Match_Log!$D$5:$D$200,$A20)+SUMIFS(Match_Log!$M$5:$M$200,Match_Log!$A$5:$A$200,8,Match_Log!$E$5:$E$200,$A20)+SUMIFS(Match_Log!$M$5:$M$200,Match_Log!$A$5:$A$200,8,Match_Log!$F$5:$F$200,$A20)</f>
        <v>0</v>
      </c>
      <c r="L20" s="22" t="n">
        <f aca="false">SUMIFS(Match_Log!$L$5:$L$200,Match_Log!$A$5:$A$200,9,Match_Log!$C$5:$C$200,$A20)+SUMIFS(Match_Log!$L$5:$L$200,Match_Log!$A$5:$A$200,9,Match_Log!$D$5:$D$200,$A20)+SUMIFS(Match_Log!$M$5:$M$200,Match_Log!$A$5:$A$200,9,Match_Log!$E$5:$E$200,$A20)+SUMIFS(Match_Log!$M$5:$M$200,Match_Log!$A$5:$A$200,9,Match_Log!$F$5:$F$200,$A20)</f>
        <v>0</v>
      </c>
      <c r="M20" s="22" t="n">
        <f aca="false">SUMIFS(Match_Log!$L$5:$L$200,Match_Log!$A$5:$A$200,10,Match_Log!$C$5:$C$200,$A20)+SUMIFS(Match_Log!$L$5:$L$200,Match_Log!$A$5:$A$200,10,Match_Log!$D$5:$D$200,$A20)+SUMIFS(Match_Log!$M$5:$M$200,Match_Log!$A$5:$A$200,10,Match_Log!$E$5:$E$200,$A20)+SUMIFS(Match_Log!$M$5:$M$200,Match_Log!$A$5:$A$200,10,Match_Log!$F$5:$F$200,$A20)</f>
        <v>0</v>
      </c>
      <c r="N20" s="23" t="n">
        <f aca="false">SUM(D20:M20)</f>
        <v>1</v>
      </c>
      <c r="O20" s="24" t="n">
        <f aca="false">SUMIFS(Match_Log!$K$5:$K$200,Match_Log!$C$5:$C$200,$A20)+SUMIFS(Match_Log!$K$5:$K$200,Match_Log!$D$5:$D$200,$A20)-SUMIFS(Match_Log!$K$5:$K$200,Match_Log!$E$5:$E$200,$A20)-SUMIFS(Match_Log!$K$5:$K$200,Match_Log!$F$5:$F$200,$A20)</f>
        <v>-17</v>
      </c>
      <c r="P20" s="15" t="n">
        <f aca="false">COUNTIFS($C$5:$C$20,C20,$N$5:$N$20,"&gt;"&amp;N20)+COUNTIFS($C$5:$C$20,C20,$N$5:$N$20,N20,$O$5:$O$20,"&gt;"&amp;O20)+1</f>
        <v>6</v>
      </c>
    </row>
    <row r="22" customFormat="false" ht="15" hidden="false" customHeight="false" outlineLevel="0" collapsed="false">
      <c r="A22" s="13" t="s">
        <v>84</v>
      </c>
      <c r="B22" s="19" t="s">
        <v>85</v>
      </c>
      <c r="C22" s="15" t="s">
        <v>86</v>
      </c>
      <c r="D22" s="22" t="n">
        <f aca="false">SUMIFS(Match_Log!$L$5:$L$200,Match_Log!$A$5:$A$200,1,Match_Log!$C$5:$C$200,$A22)+SUMIFS(Match_Log!$L$5:$L$200,Match_Log!$A$5:$A$200,1,Match_Log!$D$5:$D$200,$A22)+SUMIFS(Match_Log!$M$5:$M$200,Match_Log!$A$5:$A$200,1,Match_Log!$E$5:$E$200,$A22)+SUMIFS(Match_Log!$M$5:$M$200,Match_Log!$A$5:$A$200,1,Match_Log!$F$5:$F$200,$A22)</f>
        <v>0</v>
      </c>
      <c r="E22" s="22" t="n">
        <f aca="false">SUMIFS(Match_Log!$L$5:$L$200,Match_Log!$A$5:$A$200,2,Match_Log!$C$5:$C$200,$A22)+SUMIFS(Match_Log!$L$5:$L$200,Match_Log!$A$5:$A$200,2,Match_Log!$D$5:$D$200,$A22)+SUMIFS(Match_Log!$M$5:$M$200,Match_Log!$A$5:$A$200,2,Match_Log!$E$5:$E$200,$A22)+SUMIFS(Match_Log!$M$5:$M$200,Match_Log!$A$5:$A$200,2,Match_Log!$F$5:$F$200,$A22)</f>
        <v>0</v>
      </c>
      <c r="F22" s="22" t="n">
        <f aca="false">SUMIFS(Match_Log!$L$5:$L$200,Match_Log!$A$5:$A$200,3,Match_Log!$C$5:$C$200,$A22)+SUMIFS(Match_Log!$L$5:$L$200,Match_Log!$A$5:$A$200,3,Match_Log!$D$5:$D$200,$A22)+SUMIFS(Match_Log!$M$5:$M$200,Match_Log!$A$5:$A$200,3,Match_Log!$E$5:$E$200,$A22)+SUMIFS(Match_Log!$M$5:$M$200,Match_Log!$A$5:$A$200,3,Match_Log!$F$5:$F$200,$A22)</f>
        <v>0</v>
      </c>
      <c r="G22" s="22" t="n">
        <f aca="false">SUMIFS(Match_Log!$L$5:$L$200,Match_Log!$A$5:$A$200,4,Match_Log!$C$5:$C$200,$A22)+SUMIFS(Match_Log!$L$5:$L$200,Match_Log!$A$5:$A$200,4,Match_Log!$D$5:$D$200,$A22)+SUMIFS(Match_Log!$M$5:$M$200,Match_Log!$A$5:$A$200,4,Match_Log!$E$5:$E$200,$A22)+SUMIFS(Match_Log!$M$5:$M$200,Match_Log!$A$5:$A$200,4,Match_Log!$F$5:$F$200,$A22)</f>
        <v>0.5</v>
      </c>
      <c r="H22" s="22" t="n">
        <f aca="false">SUMIFS(Match_Log!$L$5:$L$200,Match_Log!$A$5:$A$200,5,Match_Log!$C$5:$C$200,$A22)+SUMIFS(Match_Log!$L$5:$L$200,Match_Log!$A$5:$A$200,5,Match_Log!$D$5:$D$200,$A22)+SUMIFS(Match_Log!$M$5:$M$200,Match_Log!$A$5:$A$200,5,Match_Log!$E$5:$E$200,$A22)+SUMIFS(Match_Log!$M$5:$M$200,Match_Log!$A$5:$A$200,5,Match_Log!$F$5:$F$200,$A22)</f>
        <v>0</v>
      </c>
      <c r="I22" s="22" t="n">
        <f aca="false">SUMIFS(Match_Log!$L$5:$L$200,Match_Log!$A$5:$A$200,6,Match_Log!$C$5:$C$200,$A22)+SUMIFS(Match_Log!$L$5:$L$200,Match_Log!$A$5:$A$200,6,Match_Log!$D$5:$D$200,$A22)+SUMIFS(Match_Log!$M$5:$M$200,Match_Log!$A$5:$A$200,6,Match_Log!$E$5:$E$200,$A22)+SUMIFS(Match_Log!$M$5:$M$200,Match_Log!$A$5:$A$200,6,Match_Log!$F$5:$F$200,$A22)</f>
        <v>0</v>
      </c>
      <c r="J22" s="22" t="n">
        <f aca="false">SUMIFS(Match_Log!$L$5:$L$200,Match_Log!$A$5:$A$200,7,Match_Log!$C$5:$C$200,$A22)+SUMIFS(Match_Log!$L$5:$L$200,Match_Log!$A$5:$A$200,7,Match_Log!$D$5:$D$200,$A22)+SUMIFS(Match_Log!$M$5:$M$200,Match_Log!$A$5:$A$200,7,Match_Log!$E$5:$E$200,$A22)+SUMIFS(Match_Log!$M$5:$M$200,Match_Log!$A$5:$A$200,7,Match_Log!$F$5:$F$200,$A22)</f>
        <v>0</v>
      </c>
      <c r="K22" s="22" t="n">
        <f aca="false">SUMIFS(Match_Log!$L$5:$L$200,Match_Log!$A$5:$A$200,8,Match_Log!$C$5:$C$200,$A22)+SUMIFS(Match_Log!$L$5:$L$200,Match_Log!$A$5:$A$200,8,Match_Log!$D$5:$D$200,$A22)+SUMIFS(Match_Log!$M$5:$M$200,Match_Log!$A$5:$A$200,8,Match_Log!$E$5:$E$200,$A22)+SUMIFS(Match_Log!$M$5:$M$200,Match_Log!$A$5:$A$200,8,Match_Log!$F$5:$F$200,$A22)</f>
        <v>1</v>
      </c>
      <c r="L22" s="22" t="n">
        <f aca="false">SUMIFS(Match_Log!$L$5:$L$200,Match_Log!$A$5:$A$200,9,Match_Log!$C$5:$C$200,$A22)+SUMIFS(Match_Log!$L$5:$L$200,Match_Log!$A$5:$A$200,9,Match_Log!$D$5:$D$200,$A22)+SUMIFS(Match_Log!$M$5:$M$200,Match_Log!$A$5:$A$200,9,Match_Log!$E$5:$E$200,$A22)+SUMIFS(Match_Log!$M$5:$M$200,Match_Log!$A$5:$A$200,9,Match_Log!$F$5:$F$200,$A22)</f>
        <v>0</v>
      </c>
      <c r="M22" s="22" t="n">
        <f aca="false">SUMIFS(Match_Log!$L$5:$L$200,Match_Log!$A$5:$A$200,10,Match_Log!$C$5:$C$200,$A22)+SUMIFS(Match_Log!$L$5:$L$200,Match_Log!$A$5:$A$200,10,Match_Log!$D$5:$D$200,$A22)+SUMIFS(Match_Log!$M$5:$M$200,Match_Log!$A$5:$A$200,10,Match_Log!$E$5:$E$200,$A22)+SUMIFS(Match_Log!$M$5:$M$200,Match_Log!$A$5:$A$200,10,Match_Log!$F$5:$F$200,$A22)</f>
        <v>0</v>
      </c>
      <c r="N22" s="23" t="n">
        <f aca="false">SUM(D22:M22)</f>
        <v>1.5</v>
      </c>
      <c r="O22" s="24" t="n">
        <f aca="false">SUMIFS(Match_Log!$K$5:$K$200,Match_Log!$C$5:$C$200,$A22)+SUMIFS(Match_Log!$K$5:$K$200,Match_Log!$D$5:$D$200,$A22)-SUMIFS(Match_Log!$K$5:$K$200,Match_Log!$E$5:$E$200,$A22)-SUMIFS(Match_Log!$K$5:$K$200,Match_Log!$F$5:$F$200,$A22)</f>
        <v>-12</v>
      </c>
      <c r="P22" s="20"/>
    </row>
    <row r="24" customFormat="false" ht="15" hidden="false" customHeight="false" outlineLevel="0" collapsed="false">
      <c r="B24" s="3" t="s">
        <v>95</v>
      </c>
    </row>
    <row r="25" customFormat="false" ht="15" hidden="false" customHeight="false" outlineLevel="0" collapsed="false">
      <c r="A25" s="8" t="s">
        <v>36</v>
      </c>
      <c r="B25" s="8" t="s">
        <v>9</v>
      </c>
      <c r="C25" s="8"/>
      <c r="D25" s="8" t="s">
        <v>10</v>
      </c>
      <c r="E25" s="8" t="s">
        <v>96</v>
      </c>
    </row>
    <row r="26" customFormat="false" ht="15" hidden="false" customHeight="false" outlineLevel="0" collapsed="false">
      <c r="A26" s="3" t="s">
        <v>52</v>
      </c>
      <c r="B26" s="3" t="str">
        <f aca="false">INDEX($B$5:$B$20,MATCH(1,INDEX(($C$5:$C$20="LA CELE")*($P$5:$P$20=1),0),0))</f>
        <v>Guevara, Francisco</v>
      </c>
      <c r="D26" s="25" t="n">
        <f aca="false">INDEX($N$5:$N$20,MATCH(1,INDEX(($C$5:$C$20="LA CELE")*($P$5:$P$20=1),0),0))</f>
        <v>5</v>
      </c>
      <c r="E26" s="26" t="n">
        <f aca="false">INDEX($O$5:$O$20,MATCH(1,INDEX(($C$5:$C$20="LA CELE")*($P$5:$P$20=1),0),0))</f>
        <v>22</v>
      </c>
    </row>
    <row r="27" customFormat="false" ht="15" hidden="false" customHeight="false" outlineLevel="0" collapsed="false">
      <c r="A27" s="3" t="s">
        <v>69</v>
      </c>
      <c r="B27" s="3" t="str">
        <f aca="false">INDEX($B$5:$B$20,MATCH(1,INDEX(($C$5:$C$20="ROJO")*($P$5:$P$20=1),0),0))</f>
        <v>Molinario, Andrés</v>
      </c>
      <c r="D27" s="25" t="n">
        <f aca="false">INDEX($N$5:$N$20,MATCH(1,INDEX(($C$5:$C$20="ROJO")*($P$5:$P$20=1),0),0))</f>
        <v>3.5</v>
      </c>
      <c r="E27" s="26" t="n">
        <f aca="false">INDEX($O$5:$O$20,MATCH(1,INDEX(($C$5:$C$20="ROJO")*($P$5:$P$20=1),0),0))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8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15" hidden="false" customHeight="false" outlineLevel="0" collapsed="false">
      <c r="A4" s="8" t="s">
        <v>36</v>
      </c>
      <c r="B4" s="8" t="s">
        <v>37</v>
      </c>
      <c r="C4" s="8" t="s">
        <v>38</v>
      </c>
      <c r="D4" s="8" t="s">
        <v>39</v>
      </c>
      <c r="E4" s="8" t="s">
        <v>40</v>
      </c>
      <c r="F4" s="8" t="s">
        <v>41</v>
      </c>
      <c r="G4" s="8" t="s">
        <v>42</v>
      </c>
      <c r="H4" s="8" t="s">
        <v>43</v>
      </c>
      <c r="I4" s="8" t="s">
        <v>44</v>
      </c>
      <c r="J4" s="8" t="s">
        <v>45</v>
      </c>
      <c r="K4" s="8" t="s">
        <v>46</v>
      </c>
      <c r="L4" s="8" t="s">
        <v>47</v>
      </c>
    </row>
    <row r="5" customFormat="false" ht="15" hidden="false" customHeight="false" outlineLevel="0" collapsed="false">
      <c r="A5" s="3" t="s">
        <v>99</v>
      </c>
      <c r="B5" s="27" t="n">
        <f aca="false">SUMIFS(Match_Log!$I$5:$I$200,Match_Log!$A$5:$A$200,1)</f>
        <v>1</v>
      </c>
      <c r="C5" s="27" t="n">
        <f aca="false">SUMIFS(Match_Log!$I$5:$I$200,Match_Log!$A$5:$A$200,2)</f>
        <v>2</v>
      </c>
      <c r="D5" s="27" t="n">
        <f aca="false">SUMIFS(Match_Log!$I$5:$I$200,Match_Log!$A$5:$A$200,3)</f>
        <v>4</v>
      </c>
      <c r="E5" s="27" t="n">
        <f aca="false">SUMIFS(Match_Log!$I$5:$I$200,Match_Log!$A$5:$A$200,4)</f>
        <v>3</v>
      </c>
      <c r="F5" s="27" t="n">
        <f aca="false">SUMIFS(Match_Log!$I$5:$I$200,Match_Log!$A$5:$A$200,5)</f>
        <v>2</v>
      </c>
      <c r="G5" s="27" t="n">
        <f aca="false">SUMIFS(Match_Log!$I$5:$I$200,Match_Log!$A$5:$A$200,6)</f>
        <v>5.5</v>
      </c>
      <c r="H5" s="27" t="n">
        <f aca="false">SUMIFS(Match_Log!$I$5:$I$200,Match_Log!$A$5:$A$200,7)</f>
        <v>2.5</v>
      </c>
      <c r="I5" s="27" t="n">
        <f aca="false">SUMIFS(Match_Log!$I$5:$I$200,Match_Log!$A$5:$A$200,8)</f>
        <v>4.5</v>
      </c>
      <c r="J5" s="27" t="n">
        <f aca="false">SUMIFS(Match_Log!$I$5:$I$200,Match_Log!$A$5:$A$200,9)</f>
        <v>0</v>
      </c>
      <c r="K5" s="27" t="n">
        <f aca="false">SUMIFS(Match_Log!$I$5:$I$200,Match_Log!$A$5:$A$200,10)</f>
        <v>0</v>
      </c>
      <c r="L5" s="28" t="n">
        <f aca="false">SUM(B5:K5)</f>
        <v>24.5</v>
      </c>
    </row>
    <row r="6" customFormat="false" ht="15" hidden="false" customHeight="false" outlineLevel="0" collapsed="false">
      <c r="A6" s="3" t="s">
        <v>100</v>
      </c>
      <c r="B6" s="27" t="n">
        <f aca="false">SUMIFS(Match_Log!$J$5:$J$200,Match_Log!$A$5:$A$200,1)</f>
        <v>3</v>
      </c>
      <c r="C6" s="27" t="n">
        <f aca="false">SUMIFS(Match_Log!$J$5:$J$200,Match_Log!$A$5:$A$200,2)</f>
        <v>2</v>
      </c>
      <c r="D6" s="27" t="n">
        <f aca="false">SUMIFS(Match_Log!$J$5:$J$200,Match_Log!$A$5:$A$200,3)</f>
        <v>4</v>
      </c>
      <c r="E6" s="27" t="n">
        <f aca="false">SUMIFS(Match_Log!$J$5:$J$200,Match_Log!$A$5:$A$200,4)</f>
        <v>1</v>
      </c>
      <c r="F6" s="27" t="n">
        <f aca="false">SUMIFS(Match_Log!$J$5:$J$200,Match_Log!$A$5:$A$200,5)</f>
        <v>2</v>
      </c>
      <c r="G6" s="27" t="n">
        <f aca="false">SUMIFS(Match_Log!$J$5:$J$200,Match_Log!$A$5:$A$200,6)</f>
        <v>2.5</v>
      </c>
      <c r="H6" s="27" t="n">
        <f aca="false">SUMIFS(Match_Log!$J$5:$J$200,Match_Log!$A$5:$A$200,7)</f>
        <v>1.5</v>
      </c>
      <c r="I6" s="27" t="n">
        <f aca="false">SUMIFS(Match_Log!$J$5:$J$200,Match_Log!$A$5:$A$200,8)</f>
        <v>1.5</v>
      </c>
      <c r="J6" s="27" t="n">
        <f aca="false">SUMIFS(Match_Log!$J$5:$J$200,Match_Log!$A$5:$A$200,9)</f>
        <v>0</v>
      </c>
      <c r="K6" s="27" t="n">
        <f aca="false">SUMIFS(Match_Log!$J$5:$J$200,Match_Log!$A$5:$A$200,10)</f>
        <v>0</v>
      </c>
      <c r="L6" s="28" t="n">
        <f aca="false">SUM(B6:K6)</f>
        <v>17.5</v>
      </c>
    </row>
    <row r="7" customFormat="false" ht="15" hidden="false" customHeight="false" outlineLevel="0" collapsed="false">
      <c r="A7" s="3" t="s">
        <v>101</v>
      </c>
      <c r="B7" s="7" t="n">
        <f aca="false">SUMIFS(Match_Log!$K$5:$K$200,Match_Log!$A$5:$A$200,1)</f>
        <v>-2</v>
      </c>
      <c r="C7" s="7" t="n">
        <f aca="false">SUMIFS(Match_Log!$K$5:$K$200,Match_Log!$A$5:$A$200,2)</f>
        <v>-2</v>
      </c>
      <c r="D7" s="7" t="n">
        <f aca="false">SUMIFS(Match_Log!$K$5:$K$200,Match_Log!$A$5:$A$200,3)</f>
        <v>-7</v>
      </c>
      <c r="E7" s="7" t="n">
        <f aca="false">SUMIFS(Match_Log!$K$5:$K$200,Match_Log!$A$5:$A$200,4)</f>
        <v>0</v>
      </c>
      <c r="F7" s="7" t="n">
        <f aca="false">SUMIFS(Match_Log!$K$5:$K$200,Match_Log!$A$5:$A$200,5)</f>
        <v>-1</v>
      </c>
      <c r="G7" s="7" t="n">
        <f aca="false">SUMIFS(Match_Log!$K$5:$K$200,Match_Log!$A$5:$A$200,6)</f>
        <v>15</v>
      </c>
      <c r="H7" s="7" t="n">
        <f aca="false">SUMIFS(Match_Log!$K$5:$K$200,Match_Log!$A$5:$A$200,7)</f>
        <v>9</v>
      </c>
      <c r="I7" s="7" t="n">
        <f aca="false">SUMIFS(Match_Log!$K$5:$K$200,Match_Log!$A$5:$A$200,8)</f>
        <v>11</v>
      </c>
      <c r="J7" s="7" t="n">
        <f aca="false">SUMIFS(Match_Log!$K$5:$K$200,Match_Log!$A$5:$A$200,9)</f>
        <v>0</v>
      </c>
      <c r="K7" s="7" t="n">
        <f aca="false">SUMIFS(Match_Log!$K$5:$K$200,Match_Log!$A$5:$A$200,10)</f>
        <v>0</v>
      </c>
      <c r="L7" s="29" t="n">
        <f aca="false">SUM(B7:K7)</f>
        <v>23</v>
      </c>
    </row>
    <row r="8" customFormat="false" ht="15" hidden="false" customHeight="false" outlineLevel="0" collapsed="false">
      <c r="A8" s="3" t="s">
        <v>102</v>
      </c>
      <c r="B8" s="27" t="n">
        <f aca="false">COUNTIF(Match_Log!$A$5:$A$200,1)</f>
        <v>4</v>
      </c>
      <c r="C8" s="27" t="n">
        <f aca="false">COUNTIF(Match_Log!$A$5:$A$200,2)</f>
        <v>4</v>
      </c>
      <c r="D8" s="27" t="n">
        <f aca="false">COUNTIF(Match_Log!$A$5:$A$200,3)</f>
        <v>8</v>
      </c>
      <c r="E8" s="27" t="n">
        <f aca="false">COUNTIF(Match_Log!$A$5:$A$200,4)</f>
        <v>4</v>
      </c>
      <c r="F8" s="27" t="n">
        <f aca="false">COUNTIF(Match_Log!$A$5:$A$200,5)</f>
        <v>4</v>
      </c>
      <c r="G8" s="27" t="n">
        <f aca="false">COUNTIF(Match_Log!$A$5:$A$200,6)</f>
        <v>8</v>
      </c>
      <c r="H8" s="27" t="n">
        <f aca="false">COUNTIF(Match_Log!$A$5:$A$200,7)</f>
        <v>4</v>
      </c>
      <c r="I8" s="27" t="n">
        <f aca="false">COUNTIF(Match_Log!$A$5:$A$200,8)</f>
        <v>6</v>
      </c>
      <c r="J8" s="27" t="n">
        <f aca="false">COUNTIF(Match_Log!$A$5:$A$200,9)</f>
        <v>0</v>
      </c>
      <c r="K8" s="27" t="n">
        <f aca="false">COUNTIF(Match_Log!$A$5:$A$200,10)</f>
        <v>0</v>
      </c>
      <c r="L8" s="28" t="n">
        <f aca="false">SUM(B8:K8)</f>
        <v>42</v>
      </c>
    </row>
    <row r="10" customFormat="false" ht="15" hidden="false" customHeight="false" outlineLevel="0" collapsed="false">
      <c r="A10" s="3" t="s">
        <v>103</v>
      </c>
      <c r="B10" s="30" t="n">
        <f aca="false">L5-L6</f>
        <v>7</v>
      </c>
    </row>
    <row r="11" customFormat="false" ht="15" hidden="false" customHeight="false" outlineLevel="0" collapsed="false">
      <c r="A11" s="3" t="s">
        <v>7</v>
      </c>
      <c r="B11" s="3" t="str">
        <f aca="false">IF(L5&gt;L6,"LA CELE",IF(L6&gt;L5,"ROJO",IF(L7&gt;0,"LA CELE (dif hoyos)",IF(L7&lt;0,"ROJO (dif hoyos)","EMPATE"))))</f>
        <v>LA CELE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21" min="4" style="0" width="7"/>
    <col collapsed="false" customWidth="true" hidden="false" outlineLevel="0" max="22" min="22" style="0" width="11"/>
    <col collapsed="false" customWidth="true" hidden="false" outlineLevel="0" max="23" min="23" style="0" width="7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15" hidden="false" customHeight="false" outlineLevel="0" collapsed="false">
      <c r="A4" s="8" t="s">
        <v>35</v>
      </c>
      <c r="B4" s="8" t="s">
        <v>9</v>
      </c>
      <c r="C4" s="8" t="s">
        <v>36</v>
      </c>
      <c r="D4" s="8" t="s">
        <v>37</v>
      </c>
      <c r="E4" s="8" t="s">
        <v>38</v>
      </c>
      <c r="F4" s="8" t="s">
        <v>39</v>
      </c>
      <c r="G4" s="8" t="s">
        <v>40</v>
      </c>
      <c r="H4" s="8" t="s">
        <v>41</v>
      </c>
      <c r="I4" s="8" t="s">
        <v>42</v>
      </c>
      <c r="J4" s="8" t="s">
        <v>43</v>
      </c>
      <c r="K4" s="8" t="s">
        <v>44</v>
      </c>
      <c r="L4" s="8" t="s">
        <v>45</v>
      </c>
      <c r="M4" s="8" t="s">
        <v>46</v>
      </c>
      <c r="N4" s="8" t="s">
        <v>106</v>
      </c>
      <c r="O4" s="8" t="s">
        <v>107</v>
      </c>
      <c r="P4" s="8" t="s">
        <v>108</v>
      </c>
      <c r="Q4" s="8" t="s">
        <v>109</v>
      </c>
      <c r="R4" s="8" t="s">
        <v>110</v>
      </c>
      <c r="S4" s="8" t="s">
        <v>111</v>
      </c>
      <c r="T4" s="8" t="s">
        <v>112</v>
      </c>
      <c r="U4" s="8" t="s">
        <v>113</v>
      </c>
      <c r="V4" s="8" t="s">
        <v>114</v>
      </c>
      <c r="W4" s="8" t="s">
        <v>115</v>
      </c>
      <c r="X4" s="8" t="s">
        <v>116</v>
      </c>
    </row>
    <row r="5" customFormat="false" ht="15" hidden="false" customHeight="false" outlineLevel="0" collapsed="false">
      <c r="A5" s="13" t="s">
        <v>50</v>
      </c>
      <c r="B5" s="14" t="s">
        <v>51</v>
      </c>
      <c r="C5" s="15" t="s">
        <v>52</v>
      </c>
      <c r="D5" s="16" t="n">
        <f aca="false">IFERROR(INDEX(F1!$V$6:$V$21,MATCH($A5,F1!$A$6:$A$21,0)),"")</f>
        <v>86</v>
      </c>
      <c r="E5" s="16" t="str">
        <f aca="false">IFERROR(INDEX(F2!$V$6:$V$19,MATCH($A5,F2!$A$6:$A$19,0)),"")</f>
        <v/>
      </c>
      <c r="F5" s="16" t="str">
        <f aca="false">IFERROR(INDEX(F3!$V$6:$V$20,MATCH($A5,F3!$A$6:$A$20,0)),"")</f>
        <v/>
      </c>
      <c r="G5" s="20"/>
      <c r="H5" s="16" t="n">
        <f aca="false">IFERROR(INDEX(F5!$V$6:$V$21,MATCH($A5,F5!$A$6:$A$21,0)),"")</f>
        <v>88</v>
      </c>
      <c r="I5" s="16" t="n">
        <f aca="false">IFERROR(INDEX(F6!$V$6:$V$21,MATCH($A5,F6!$A$6:$A$21,0)),"")</f>
        <v>83</v>
      </c>
      <c r="J5" s="16" t="str">
        <f aca="false">IFERROR(INDEX(F7!$V$6:$V$21,MATCH($A5,F7!$A$6:$A$21,0)),"")</f>
        <v/>
      </c>
      <c r="K5" s="16" t="n">
        <f aca="false">IFERROR(INDEX(F8!$V$6:$V$17,MATCH($A5,F8!$A$6:$A$17,0)),"")</f>
        <v>80</v>
      </c>
      <c r="L5" s="20"/>
      <c r="M5" s="20"/>
      <c r="N5" s="15" t="n">
        <f aca="false">COUNT(D5:M5)</f>
        <v>4</v>
      </c>
      <c r="O5" s="31" t="n">
        <f aca="false">IF(N5&gt;=1,SMALL(D5:M5,1),"")</f>
        <v>80</v>
      </c>
      <c r="P5" s="31" t="n">
        <f aca="false">IF(N5&gt;=2,SMALL(D5:M5,2),"")</f>
        <v>83</v>
      </c>
      <c r="Q5" s="31" t="n">
        <f aca="false">IF(N5&gt;=3,SMALL(D5:M5,3),"")</f>
        <v>86</v>
      </c>
      <c r="R5" s="31" t="n">
        <f aca="false">IF(N5&gt;=4,SMALL(D5:M5,4),"")</f>
        <v>88</v>
      </c>
      <c r="S5" s="31" t="str">
        <f aca="false">IF(N5&gt;=5,SMALL(D5:M5,5),"")</f>
        <v/>
      </c>
      <c r="T5" s="31" t="str">
        <f aca="false">IF(N5&gt;=6,SMALL(D5:M5,6),"")</f>
        <v/>
      </c>
      <c r="U5" s="31" t="str">
        <f aca="false">IF(N5&gt;=7,SMALL(D5:M5,7),"")</f>
        <v/>
      </c>
      <c r="V5" s="32" t="n">
        <f aca="false">IF(N5=0,"",AVERAGE(O5:U5))</f>
        <v>84.25</v>
      </c>
      <c r="W5" s="31" t="n">
        <f aca="false">IF(N5=0,"",MIN(D5:M5))</f>
        <v>80</v>
      </c>
      <c r="X5" s="15" t="str">
        <f aca="false">IF(N5&gt;=Supuestos!$F$14,"Sí",IF(N5+COUNTIF(Fixture!$H$5:$H$14,"Pendiente")&gt;=Supuestos!$F$14,"Puede","No llega"))</f>
        <v>No llega</v>
      </c>
    </row>
    <row r="6" customFormat="false" ht="15" hidden="false" customHeight="false" outlineLevel="0" collapsed="false">
      <c r="A6" s="13" t="s">
        <v>53</v>
      </c>
      <c r="B6" s="14" t="s">
        <v>54</v>
      </c>
      <c r="C6" s="15" t="s">
        <v>52</v>
      </c>
      <c r="D6" s="16" t="n">
        <f aca="false">IFERROR(INDEX(F1!$V$6:$V$21,MATCH($A6,F1!$A$6:$A$21,0)),"")</f>
        <v>86</v>
      </c>
      <c r="E6" s="16" t="n">
        <f aca="false">IFERROR(INDEX(F2!$V$6:$V$19,MATCH($A6,F2!$A$6:$A$19,0)),"")</f>
        <v>97</v>
      </c>
      <c r="F6" s="16" t="n">
        <f aca="false">IFERROR(INDEX(F3!$V$6:$V$20,MATCH($A6,F3!$A$6:$A$20,0)),"")</f>
        <v>86</v>
      </c>
      <c r="G6" s="20"/>
      <c r="H6" s="16" t="n">
        <f aca="false">IFERROR(INDEX(F5!$V$6:$V$21,MATCH($A6,F5!$A$6:$A$21,0)),"")</f>
        <v>92</v>
      </c>
      <c r="I6" s="16" t="n">
        <f aca="false">IFERROR(INDEX(F6!$V$6:$V$21,MATCH($A6,F6!$A$6:$A$21,0)),"")</f>
        <v>89</v>
      </c>
      <c r="J6" s="16" t="n">
        <f aca="false">IFERROR(INDEX(F7!$V$6:$V$21,MATCH($A6,F7!$A$6:$A$21,0)),"")</f>
        <v>92</v>
      </c>
      <c r="K6" s="16" t="str">
        <f aca="false">IFERROR(INDEX(F8!$V$6:$V$17,MATCH($A6,F8!$A$6:$A$17,0)),"")</f>
        <v/>
      </c>
      <c r="L6" s="20"/>
      <c r="M6" s="20"/>
      <c r="N6" s="15" t="n">
        <f aca="false">COUNT(D6:M6)</f>
        <v>6</v>
      </c>
      <c r="O6" s="31" t="n">
        <f aca="false">IF(N6&gt;=1,SMALL(D6:M6,1),"")</f>
        <v>86</v>
      </c>
      <c r="P6" s="31" t="n">
        <f aca="false">IF(N6&gt;=2,SMALL(D6:M6,2),"")</f>
        <v>86</v>
      </c>
      <c r="Q6" s="31" t="n">
        <f aca="false">IF(N6&gt;=3,SMALL(D6:M6,3),"")</f>
        <v>89</v>
      </c>
      <c r="R6" s="31" t="n">
        <f aca="false">IF(N6&gt;=4,SMALL(D6:M6,4),"")</f>
        <v>92</v>
      </c>
      <c r="S6" s="31" t="n">
        <f aca="false">IF(N6&gt;=5,SMALL(D6:M6,5),"")</f>
        <v>92</v>
      </c>
      <c r="T6" s="31" t="n">
        <f aca="false">IF(N6&gt;=6,SMALL(D6:M6,6),"")</f>
        <v>97</v>
      </c>
      <c r="U6" s="31" t="str">
        <f aca="false">IF(N6&gt;=7,SMALL(D6:M6,7),"")</f>
        <v/>
      </c>
      <c r="V6" s="32" t="n">
        <f aca="false">IF(N6=0,"",AVERAGE(O6:U6))</f>
        <v>90.3333333333333</v>
      </c>
      <c r="W6" s="31" t="n">
        <f aca="false">IF(N6=0,"",MIN(D6:M6))</f>
        <v>86</v>
      </c>
      <c r="X6" s="15" t="str">
        <f aca="false">IF(N6&gt;=Supuestos!$F$14,"Sí",IF(N6+COUNTIF(Fixture!$H$5:$H$14,"Pendiente")&gt;=Supuestos!$F$14,"Puede","No llega"))</f>
        <v>Puede</v>
      </c>
    </row>
    <row r="7" customFormat="false" ht="15" hidden="false" customHeight="false" outlineLevel="0" collapsed="false">
      <c r="A7" s="13" t="s">
        <v>55</v>
      </c>
      <c r="B7" s="14" t="s">
        <v>56</v>
      </c>
      <c r="C7" s="15" t="s">
        <v>52</v>
      </c>
      <c r="D7" s="16" t="n">
        <f aca="false">IFERROR(INDEX(F1!$V$6:$V$21,MATCH($A7,F1!$A$6:$A$21,0)),"")</f>
        <v>87</v>
      </c>
      <c r="E7" s="16" t="str">
        <f aca="false">IFERROR(INDEX(F2!$V$6:$V$19,MATCH($A7,F2!$A$6:$A$19,0)),"")</f>
        <v/>
      </c>
      <c r="F7" s="16" t="str">
        <f aca="false">IFERROR(INDEX(F3!$V$6:$V$20,MATCH($A7,F3!$A$6:$A$20,0)),"")</f>
        <v/>
      </c>
      <c r="G7" s="20"/>
      <c r="H7" s="16" t="str">
        <f aca="false">IFERROR(INDEX(F5!$V$6:$V$21,MATCH($A7,F5!$A$6:$A$21,0)),"")</f>
        <v/>
      </c>
      <c r="I7" s="16" t="str">
        <f aca="false">IFERROR(INDEX(F6!$V$6:$V$21,MATCH($A7,F6!$A$6:$A$21,0)),"")</f>
        <v/>
      </c>
      <c r="J7" s="16" t="str">
        <f aca="false">IFERROR(INDEX(F7!$V$6:$V$21,MATCH($A7,F7!$A$6:$A$21,0)),"")</f>
        <v/>
      </c>
      <c r="K7" s="16" t="n">
        <f aca="false">IFERROR(INDEX(F8!$V$6:$V$17,MATCH($A7,F8!$A$6:$A$17,0)),"")</f>
        <v>91</v>
      </c>
      <c r="L7" s="20"/>
      <c r="M7" s="20"/>
      <c r="N7" s="15" t="n">
        <f aca="false">COUNT(D7:M7)</f>
        <v>2</v>
      </c>
      <c r="O7" s="31" t="n">
        <f aca="false">IF(N7&gt;=1,SMALL(D7:M7,1),"")</f>
        <v>87</v>
      </c>
      <c r="P7" s="31" t="n">
        <f aca="false">IF(N7&gt;=2,SMALL(D7:M7,2),"")</f>
        <v>91</v>
      </c>
      <c r="Q7" s="31" t="str">
        <f aca="false">IF(N7&gt;=3,SMALL(D7:M7,3),"")</f>
        <v/>
      </c>
      <c r="R7" s="31" t="str">
        <f aca="false">IF(N7&gt;=4,SMALL(D7:M7,4),"")</f>
        <v/>
      </c>
      <c r="S7" s="31" t="str">
        <f aca="false">IF(N7&gt;=5,SMALL(D7:M7,5),"")</f>
        <v/>
      </c>
      <c r="T7" s="31" t="str">
        <f aca="false">IF(N7&gt;=6,SMALL(D7:M7,6),"")</f>
        <v/>
      </c>
      <c r="U7" s="31" t="str">
        <f aca="false">IF(N7&gt;=7,SMALL(D7:M7,7),"")</f>
        <v/>
      </c>
      <c r="V7" s="32" t="n">
        <f aca="false">IF(N7=0,"",AVERAGE(O7:U7))</f>
        <v>89</v>
      </c>
      <c r="W7" s="31" t="n">
        <f aca="false">IF(N7=0,"",MIN(D7:M7))</f>
        <v>87</v>
      </c>
      <c r="X7" s="15" t="str">
        <f aca="false">IF(N7&gt;=Supuestos!$F$14,"Sí",IF(N7+COUNTIF(Fixture!$H$5:$H$14,"Pendiente")&gt;=Supuestos!$F$14,"Puede","No llega"))</f>
        <v>No llega</v>
      </c>
    </row>
    <row r="8" customFormat="false" ht="15" hidden="false" customHeight="false" outlineLevel="0" collapsed="false">
      <c r="A8" s="13" t="s">
        <v>57</v>
      </c>
      <c r="B8" s="14" t="s">
        <v>58</v>
      </c>
      <c r="C8" s="15" t="s">
        <v>52</v>
      </c>
      <c r="D8" s="16" t="n">
        <f aca="false">IFERROR(INDEX(F1!$V$6:$V$21,MATCH($A8,F1!$A$6:$A$21,0)),"")</f>
        <v>96</v>
      </c>
      <c r="E8" s="16" t="str">
        <f aca="false">IFERROR(INDEX(F2!$V$6:$V$19,MATCH($A8,F2!$A$6:$A$19,0)),"")</f>
        <v/>
      </c>
      <c r="F8" s="16" t="n">
        <f aca="false">IFERROR(INDEX(F3!$V$6:$V$20,MATCH($A8,F3!$A$6:$A$20,0)),"")</f>
        <v>91</v>
      </c>
      <c r="G8" s="20"/>
      <c r="H8" s="16" t="n">
        <f aca="false">IFERROR(INDEX(F5!$V$6:$V$21,MATCH($A8,F5!$A$6:$A$21,0)),"")</f>
        <v>93</v>
      </c>
      <c r="I8" s="16" t="n">
        <f aca="false">IFERROR(INDEX(F6!$V$6:$V$21,MATCH($A8,F6!$A$6:$A$21,0)),"")</f>
        <v>99</v>
      </c>
      <c r="J8" s="16" t="n">
        <f aca="false">IFERROR(INDEX(F7!$V$6:$V$21,MATCH($A8,F7!$A$6:$A$21,0)),"")</f>
        <v>94</v>
      </c>
      <c r="K8" s="16" t="str">
        <f aca="false">IFERROR(INDEX(F8!$V$6:$V$17,MATCH($A8,F8!$A$6:$A$17,0)),"")</f>
        <v/>
      </c>
      <c r="L8" s="20"/>
      <c r="M8" s="20"/>
      <c r="N8" s="15" t="n">
        <f aca="false">COUNT(D8:M8)</f>
        <v>5</v>
      </c>
      <c r="O8" s="31" t="n">
        <f aca="false">IF(N8&gt;=1,SMALL(D8:M8,1),"")</f>
        <v>91</v>
      </c>
      <c r="P8" s="31" t="n">
        <f aca="false">IF(N8&gt;=2,SMALL(D8:M8,2),"")</f>
        <v>93</v>
      </c>
      <c r="Q8" s="31" t="n">
        <f aca="false">IF(N8&gt;=3,SMALL(D8:M8,3),"")</f>
        <v>94</v>
      </c>
      <c r="R8" s="31" t="n">
        <f aca="false">IF(N8&gt;=4,SMALL(D8:M8,4),"")</f>
        <v>96</v>
      </c>
      <c r="S8" s="31" t="n">
        <f aca="false">IF(N8&gt;=5,SMALL(D8:M8,5),"")</f>
        <v>99</v>
      </c>
      <c r="T8" s="31" t="str">
        <f aca="false">IF(N8&gt;=6,SMALL(D8:M8,6),"")</f>
        <v/>
      </c>
      <c r="U8" s="31" t="str">
        <f aca="false">IF(N8&gt;=7,SMALL(D8:M8,7),"")</f>
        <v/>
      </c>
      <c r="V8" s="32" t="n">
        <f aca="false">IF(N8=0,"",AVERAGE(O8:U8))</f>
        <v>94.6</v>
      </c>
      <c r="W8" s="31" t="n">
        <f aca="false">IF(N8=0,"",MIN(D8:M8))</f>
        <v>91</v>
      </c>
      <c r="X8" s="15" t="str">
        <f aca="false">IF(N8&gt;=Supuestos!$F$14,"Sí",IF(N8+COUNTIF(Fixture!$H$5:$H$14,"Pendiente")&gt;=Supuestos!$F$14,"Puede","No llega"))</f>
        <v>Puede</v>
      </c>
    </row>
    <row r="9" customFormat="false" ht="15" hidden="false" customHeight="false" outlineLevel="0" collapsed="false">
      <c r="A9" s="13" t="s">
        <v>59</v>
      </c>
      <c r="B9" s="14" t="s">
        <v>60</v>
      </c>
      <c r="C9" s="15" t="s">
        <v>52</v>
      </c>
      <c r="D9" s="16" t="n">
        <f aca="false">IFERROR(INDEX(F1!$V$6:$V$21,MATCH($A9,F1!$A$6:$A$21,0)),"")</f>
        <v>97</v>
      </c>
      <c r="E9" s="16" t="n">
        <f aca="false">IFERROR(INDEX(F2!$V$6:$V$19,MATCH($A9,F2!$A$6:$A$19,0)),"")</f>
        <v>92</v>
      </c>
      <c r="F9" s="16" t="n">
        <f aca="false">IFERROR(INDEX(F3!$V$6:$V$20,MATCH($A9,F3!$A$6:$A$20,0)),"")</f>
        <v>94</v>
      </c>
      <c r="G9" s="20"/>
      <c r="H9" s="16" t="str">
        <f aca="false">IFERROR(INDEX(F5!$V$6:$V$21,MATCH($A9,F5!$A$6:$A$21,0)),"")</f>
        <v/>
      </c>
      <c r="I9" s="16" t="n">
        <f aca="false">IFERROR(INDEX(F6!$V$6:$V$21,MATCH($A9,F6!$A$6:$A$21,0)),"")</f>
        <v>96</v>
      </c>
      <c r="J9" s="16" t="str">
        <f aca="false">IFERROR(INDEX(F7!$V$6:$V$21,MATCH($A9,F7!$A$6:$A$21,0)),"")</f>
        <v/>
      </c>
      <c r="K9" s="16" t="n">
        <f aca="false">IFERROR(INDEX(F8!$V$6:$V$17,MATCH($A9,F8!$A$6:$A$17,0)),"")</f>
        <v>84</v>
      </c>
      <c r="L9" s="20"/>
      <c r="M9" s="20"/>
      <c r="N9" s="15" t="n">
        <f aca="false">COUNT(D9:M9)</f>
        <v>5</v>
      </c>
      <c r="O9" s="31" t="n">
        <f aca="false">IF(N9&gt;=1,SMALL(D9:M9,1),"")</f>
        <v>84</v>
      </c>
      <c r="P9" s="31" t="n">
        <f aca="false">IF(N9&gt;=2,SMALL(D9:M9,2),"")</f>
        <v>92</v>
      </c>
      <c r="Q9" s="31" t="n">
        <f aca="false">IF(N9&gt;=3,SMALL(D9:M9,3),"")</f>
        <v>94</v>
      </c>
      <c r="R9" s="31" t="n">
        <f aca="false">IF(N9&gt;=4,SMALL(D9:M9,4),"")</f>
        <v>96</v>
      </c>
      <c r="S9" s="31" t="n">
        <f aca="false">IF(N9&gt;=5,SMALL(D9:M9,5),"")</f>
        <v>97</v>
      </c>
      <c r="T9" s="31" t="str">
        <f aca="false">IF(N9&gt;=6,SMALL(D9:M9,6),"")</f>
        <v/>
      </c>
      <c r="U9" s="31" t="str">
        <f aca="false">IF(N9&gt;=7,SMALL(D9:M9,7),"")</f>
        <v/>
      </c>
      <c r="V9" s="32" t="n">
        <f aca="false">IF(N9=0,"",AVERAGE(O9:U9))</f>
        <v>92.6</v>
      </c>
      <c r="W9" s="31" t="n">
        <f aca="false">IF(N9=0,"",MIN(D9:M9))</f>
        <v>84</v>
      </c>
      <c r="X9" s="15" t="str">
        <f aca="false">IF(N9&gt;=Supuestos!$F$14,"Sí",IF(N9+COUNTIF(Fixture!$H$5:$H$14,"Pendiente")&gt;=Supuestos!$F$14,"Puede","No llega"))</f>
        <v>Puede</v>
      </c>
    </row>
    <row r="10" customFormat="false" ht="15" hidden="false" customHeight="false" outlineLevel="0" collapsed="false">
      <c r="A10" s="13" t="s">
        <v>61</v>
      </c>
      <c r="B10" s="14" t="s">
        <v>62</v>
      </c>
      <c r="C10" s="15" t="s">
        <v>52</v>
      </c>
      <c r="D10" s="16" t="n">
        <f aca="false">IFERROR(INDEX(F1!$V$6:$V$21,MATCH($A10,F1!$A$6:$A$21,0)),"")</f>
        <v>111</v>
      </c>
      <c r="E10" s="16" t="n">
        <f aca="false">IFERROR(INDEX(F2!$V$6:$V$19,MATCH($A10,F2!$A$6:$A$19,0)),"")</f>
        <v>93</v>
      </c>
      <c r="F10" s="16" t="n">
        <f aca="false">IFERROR(INDEX(F3!$V$6:$V$20,MATCH($A10,F3!$A$6:$A$20,0)),"")</f>
        <v>99</v>
      </c>
      <c r="G10" s="20"/>
      <c r="H10" s="16" t="n">
        <f aca="false">IFERROR(INDEX(F5!$V$6:$V$21,MATCH($A10,F5!$A$6:$A$21,0)),"")</f>
        <v>103</v>
      </c>
      <c r="I10" s="16" t="n">
        <f aca="false">IFERROR(INDEX(F6!$V$6:$V$21,MATCH($A10,F6!$A$6:$A$21,0)),"")</f>
        <v>92</v>
      </c>
      <c r="J10" s="16" t="n">
        <f aca="false">IFERROR(INDEX(F7!$V$6:$V$21,MATCH($A10,F7!$A$6:$A$21,0)),"")</f>
        <v>98</v>
      </c>
      <c r="K10" s="16" t="n">
        <f aca="false">IFERROR(INDEX(F8!$V$6:$V$17,MATCH($A10,F8!$A$6:$A$17,0)),"")</f>
        <v>100</v>
      </c>
      <c r="L10" s="20"/>
      <c r="M10" s="20"/>
      <c r="N10" s="15" t="n">
        <f aca="false">COUNT(D10:M10)</f>
        <v>7</v>
      </c>
      <c r="O10" s="31" t="n">
        <f aca="false">IF(N10&gt;=1,SMALL(D10:M10,1),"")</f>
        <v>92</v>
      </c>
      <c r="P10" s="31" t="n">
        <f aca="false">IF(N10&gt;=2,SMALL(D10:M10,2),"")</f>
        <v>93</v>
      </c>
      <c r="Q10" s="31" t="n">
        <f aca="false">IF(N10&gt;=3,SMALL(D10:M10,3),"")</f>
        <v>98</v>
      </c>
      <c r="R10" s="31" t="n">
        <f aca="false">IF(N10&gt;=4,SMALL(D10:M10,4),"")</f>
        <v>99</v>
      </c>
      <c r="S10" s="31" t="n">
        <f aca="false">IF(N10&gt;=5,SMALL(D10:M10,5),"")</f>
        <v>100</v>
      </c>
      <c r="T10" s="31" t="n">
        <f aca="false">IF(N10&gt;=6,SMALL(D10:M10,6),"")</f>
        <v>103</v>
      </c>
      <c r="U10" s="31" t="n">
        <f aca="false">IF(N10&gt;=7,SMALL(D10:M10,7),"")</f>
        <v>111</v>
      </c>
      <c r="V10" s="32" t="n">
        <f aca="false">IF(N10=0,"",AVERAGE(O10:U10))</f>
        <v>99.4285714285714</v>
      </c>
      <c r="W10" s="31" t="n">
        <f aca="false">IF(N10=0,"",MIN(D10:M10))</f>
        <v>92</v>
      </c>
      <c r="X10" s="15" t="str">
        <f aca="false">IF(N10&gt;=Supuestos!$F$14,"Sí",IF(N10+COUNTIF(Fixture!$H$5:$H$14,"Pendiente")&gt;=Supuestos!$F$14,"Puede","No llega"))</f>
        <v>Sí</v>
      </c>
    </row>
    <row r="11" customFormat="false" ht="15" hidden="false" customHeight="false" outlineLevel="0" collapsed="false">
      <c r="A11" s="13" t="s">
        <v>63</v>
      </c>
      <c r="B11" s="14" t="s">
        <v>64</v>
      </c>
      <c r="C11" s="15" t="s">
        <v>52</v>
      </c>
      <c r="D11" s="16" t="n">
        <f aca="false">IFERROR(INDEX(F1!$V$6:$V$21,MATCH($A11,F1!$A$6:$A$21,0)),"")</f>
        <v>87</v>
      </c>
      <c r="E11" s="16" t="n">
        <f aca="false">IFERROR(INDEX(F2!$V$6:$V$19,MATCH($A11,F2!$A$6:$A$19,0)),"")</f>
        <v>95</v>
      </c>
      <c r="F11" s="16" t="n">
        <f aca="false">IFERROR(INDEX(F3!$V$6:$V$20,MATCH($A11,F3!$A$6:$A$20,0)),"")</f>
        <v>101</v>
      </c>
      <c r="G11" s="20"/>
      <c r="H11" s="16" t="n">
        <f aca="false">IFERROR(INDEX(F5!$V$6:$V$21,MATCH($A11,F5!$A$6:$A$21,0)),"")</f>
        <v>101</v>
      </c>
      <c r="I11" s="16" t="n">
        <f aca="false">IFERROR(INDEX(F6!$V$6:$V$21,MATCH($A11,F6!$A$6:$A$21,0)),"")</f>
        <v>96</v>
      </c>
      <c r="J11" s="16" t="n">
        <f aca="false">IFERROR(INDEX(F7!$V$6:$V$21,MATCH($A11,F7!$A$6:$A$21,0)),"")</f>
        <v>94</v>
      </c>
      <c r="K11" s="16" t="n">
        <f aca="false">IFERROR(INDEX(F8!$V$6:$V$17,MATCH($A11,F8!$A$6:$A$17,0)),"")</f>
        <v>95</v>
      </c>
      <c r="L11" s="20"/>
      <c r="M11" s="20"/>
      <c r="N11" s="15" t="n">
        <f aca="false">COUNT(D11:M11)</f>
        <v>7</v>
      </c>
      <c r="O11" s="31" t="n">
        <f aca="false">IF(N11&gt;=1,SMALL(D11:M11,1),"")</f>
        <v>87</v>
      </c>
      <c r="P11" s="31" t="n">
        <f aca="false">IF(N11&gt;=2,SMALL(D11:M11,2),"")</f>
        <v>94</v>
      </c>
      <c r="Q11" s="31" t="n">
        <f aca="false">IF(N11&gt;=3,SMALL(D11:M11,3),"")</f>
        <v>95</v>
      </c>
      <c r="R11" s="31" t="n">
        <f aca="false">IF(N11&gt;=4,SMALL(D11:M11,4),"")</f>
        <v>95</v>
      </c>
      <c r="S11" s="31" t="n">
        <f aca="false">IF(N11&gt;=5,SMALL(D11:M11,5),"")</f>
        <v>96</v>
      </c>
      <c r="T11" s="31" t="n">
        <f aca="false">IF(N11&gt;=6,SMALL(D11:M11,6),"")</f>
        <v>101</v>
      </c>
      <c r="U11" s="31" t="n">
        <f aca="false">IF(N11&gt;=7,SMALL(D11:M11,7),"")</f>
        <v>101</v>
      </c>
      <c r="V11" s="32" t="n">
        <f aca="false">IF(N11=0,"",AVERAGE(O11:U11))</f>
        <v>95.5714285714286</v>
      </c>
      <c r="W11" s="31" t="n">
        <f aca="false">IF(N11=0,"",MIN(D11:M11))</f>
        <v>87</v>
      </c>
      <c r="X11" s="15" t="str">
        <f aca="false">IF(N11&gt;=Supuestos!$F$14,"Sí",IF(N11+COUNTIF(Fixture!$H$5:$H$14,"Pendiente")&gt;=Supuestos!$F$14,"Puede","No llega"))</f>
        <v>Sí</v>
      </c>
    </row>
    <row r="12" customFormat="false" ht="15" hidden="false" customHeight="false" outlineLevel="0" collapsed="false">
      <c r="A12" s="13" t="s">
        <v>65</v>
      </c>
      <c r="B12" s="14" t="s">
        <v>66</v>
      </c>
      <c r="C12" s="15" t="s">
        <v>52</v>
      </c>
      <c r="D12" s="16" t="n">
        <f aca="false">IFERROR(INDEX(F1!$V$6:$V$21,MATCH($A12,F1!$A$6:$A$21,0)),"")</f>
        <v>93</v>
      </c>
      <c r="E12" s="16" t="n">
        <f aca="false">IFERROR(INDEX(F2!$V$6:$V$19,MATCH($A12,F2!$A$6:$A$19,0)),"")</f>
        <v>95</v>
      </c>
      <c r="F12" s="16" t="n">
        <f aca="false">IFERROR(INDEX(F3!$V$6:$V$20,MATCH($A12,F3!$A$6:$A$20,0)),"")</f>
        <v>110</v>
      </c>
      <c r="G12" s="20"/>
      <c r="H12" s="16" t="n">
        <f aca="false">IFERROR(INDEX(F5!$V$6:$V$21,MATCH($A12,F5!$A$6:$A$21,0)),"")</f>
        <v>114</v>
      </c>
      <c r="I12" s="16" t="n">
        <f aca="false">IFERROR(INDEX(F6!$V$6:$V$21,MATCH($A12,F6!$A$6:$A$21,0)),"")</f>
        <v>109</v>
      </c>
      <c r="J12" s="16" t="n">
        <f aca="false">IFERROR(INDEX(F7!$V$6:$V$21,MATCH($A12,F7!$A$6:$A$21,0)),"")</f>
        <v>104</v>
      </c>
      <c r="K12" s="16" t="n">
        <f aca="false">IFERROR(INDEX(F8!$V$6:$V$17,MATCH($A12,F8!$A$6:$A$17,0)),"")</f>
        <v>105</v>
      </c>
      <c r="L12" s="20"/>
      <c r="M12" s="20"/>
      <c r="N12" s="15" t="n">
        <f aca="false">COUNT(D12:M12)</f>
        <v>7</v>
      </c>
      <c r="O12" s="31" t="n">
        <f aca="false">IF(N12&gt;=1,SMALL(D12:M12,1),"")</f>
        <v>93</v>
      </c>
      <c r="P12" s="31" t="n">
        <f aca="false">IF(N12&gt;=2,SMALL(D12:M12,2),"")</f>
        <v>95</v>
      </c>
      <c r="Q12" s="31" t="n">
        <f aca="false">IF(N12&gt;=3,SMALL(D12:M12,3),"")</f>
        <v>104</v>
      </c>
      <c r="R12" s="31" t="n">
        <f aca="false">IF(N12&gt;=4,SMALL(D12:M12,4),"")</f>
        <v>105</v>
      </c>
      <c r="S12" s="31" t="n">
        <f aca="false">IF(N12&gt;=5,SMALL(D12:M12,5),"")</f>
        <v>109</v>
      </c>
      <c r="T12" s="31" t="n">
        <f aca="false">IF(N12&gt;=6,SMALL(D12:M12,6),"")</f>
        <v>110</v>
      </c>
      <c r="U12" s="31" t="n">
        <f aca="false">IF(N12&gt;=7,SMALL(D12:M12,7),"")</f>
        <v>114</v>
      </c>
      <c r="V12" s="32" t="n">
        <f aca="false">IF(N12=0,"",AVERAGE(O12:U12))</f>
        <v>104.285714285714</v>
      </c>
      <c r="W12" s="31" t="n">
        <f aca="false">IF(N12=0,"",MIN(D12:M12))</f>
        <v>93</v>
      </c>
      <c r="X12" s="15" t="str">
        <f aca="false">IF(N12&gt;=Supuestos!$F$14,"Sí",IF(N12+COUNTIF(Fixture!$H$5:$H$14,"Pendiente")&gt;=Supuestos!$F$14,"Puede","No llega"))</f>
        <v>Sí</v>
      </c>
    </row>
    <row r="13" customFormat="false" ht="15" hidden="false" customHeight="false" outlineLevel="0" collapsed="false">
      <c r="A13" s="13" t="s">
        <v>67</v>
      </c>
      <c r="B13" s="14" t="s">
        <v>68</v>
      </c>
      <c r="C13" s="15" t="s">
        <v>69</v>
      </c>
      <c r="D13" s="16" t="n">
        <f aca="false">IFERROR(INDEX(F1!$V$6:$V$21,MATCH($A13,F1!$A$6:$A$21,0)),"")</f>
        <v>82</v>
      </c>
      <c r="E13" s="16" t="n">
        <f aca="false">IFERROR(INDEX(F2!$V$6:$V$19,MATCH($A13,F2!$A$6:$A$19,0)),"")</f>
        <v>75</v>
      </c>
      <c r="F13" s="16" t="n">
        <f aca="false">IFERROR(INDEX(F3!$V$6:$V$20,MATCH($A13,F3!$A$6:$A$20,0)),"")</f>
        <v>91</v>
      </c>
      <c r="G13" s="20"/>
      <c r="H13" s="16" t="n">
        <f aca="false">IFERROR(INDEX(F5!$V$6:$V$21,MATCH($A13,F5!$A$6:$A$21,0)),"")</f>
        <v>85</v>
      </c>
      <c r="I13" s="16" t="str">
        <f aca="false">IFERROR(INDEX(F6!$V$6:$V$21,MATCH($A13,F6!$A$6:$A$21,0)),"")</f>
        <v/>
      </c>
      <c r="J13" s="16" t="n">
        <f aca="false">IFERROR(INDEX(F7!$V$6:$V$21,MATCH($A13,F7!$A$6:$A$21,0)),"")</f>
        <v>97</v>
      </c>
      <c r="K13" s="16" t="n">
        <f aca="false">IFERROR(INDEX(F8!$V$6:$V$17,MATCH($A13,F8!$A$6:$A$17,0)),"")</f>
        <v>90</v>
      </c>
      <c r="L13" s="20"/>
      <c r="M13" s="20"/>
      <c r="N13" s="15" t="n">
        <f aca="false">COUNT(D13:M13)</f>
        <v>6</v>
      </c>
      <c r="O13" s="31" t="n">
        <f aca="false">IF(N13&gt;=1,SMALL(D13:M13,1),"")</f>
        <v>75</v>
      </c>
      <c r="P13" s="31" t="n">
        <f aca="false">IF(N13&gt;=2,SMALL(D13:M13,2),"")</f>
        <v>82</v>
      </c>
      <c r="Q13" s="31" t="n">
        <f aca="false">IF(N13&gt;=3,SMALL(D13:M13,3),"")</f>
        <v>85</v>
      </c>
      <c r="R13" s="31" t="n">
        <f aca="false">IF(N13&gt;=4,SMALL(D13:M13,4),"")</f>
        <v>90</v>
      </c>
      <c r="S13" s="31" t="n">
        <f aca="false">IF(N13&gt;=5,SMALL(D13:M13,5),"")</f>
        <v>91</v>
      </c>
      <c r="T13" s="31" t="n">
        <f aca="false">IF(N13&gt;=6,SMALL(D13:M13,6),"")</f>
        <v>97</v>
      </c>
      <c r="U13" s="31" t="str">
        <f aca="false">IF(N13&gt;=7,SMALL(D13:M13,7),"")</f>
        <v/>
      </c>
      <c r="V13" s="32" t="n">
        <f aca="false">IF(N13=0,"",AVERAGE(O13:U13))</f>
        <v>86.6666666666667</v>
      </c>
      <c r="W13" s="31" t="n">
        <f aca="false">IF(N13=0,"",MIN(D13:M13))</f>
        <v>75</v>
      </c>
      <c r="X13" s="15" t="str">
        <f aca="false">IF(N13&gt;=Supuestos!$F$14,"Sí",IF(N13+COUNTIF(Fixture!$H$5:$H$14,"Pendiente")&gt;=Supuestos!$F$14,"Puede","No llega"))</f>
        <v>Puede</v>
      </c>
    </row>
    <row r="14" customFormat="false" ht="15" hidden="false" customHeight="false" outlineLevel="0" collapsed="false">
      <c r="A14" s="13" t="s">
        <v>70</v>
      </c>
      <c r="B14" s="14" t="s">
        <v>71</v>
      </c>
      <c r="C14" s="15" t="s">
        <v>69</v>
      </c>
      <c r="D14" s="16" t="n">
        <f aca="false">IFERROR(INDEX(F1!$V$6:$V$21,MATCH($A14,F1!$A$6:$A$21,0)),"")</f>
        <v>86</v>
      </c>
      <c r="E14" s="16" t="n">
        <f aca="false">IFERROR(INDEX(F2!$V$6:$V$19,MATCH($A14,F2!$A$6:$A$19,0)),"")</f>
        <v>83</v>
      </c>
      <c r="F14" s="16" t="n">
        <f aca="false">IFERROR(INDEX(F3!$V$6:$V$20,MATCH($A14,F3!$A$6:$A$20,0)),"")</f>
        <v>90</v>
      </c>
      <c r="G14" s="20"/>
      <c r="H14" s="16" t="n">
        <f aca="false">IFERROR(INDEX(F5!$V$6:$V$21,MATCH($A14,F5!$A$6:$A$21,0)),"")</f>
        <v>86</v>
      </c>
      <c r="I14" s="16" t="n">
        <f aca="false">IFERROR(INDEX(F6!$V$6:$V$21,MATCH($A14,F6!$A$6:$A$21,0)),"")</f>
        <v>89</v>
      </c>
      <c r="J14" s="16" t="n">
        <f aca="false">IFERROR(INDEX(F7!$V$6:$V$21,MATCH($A14,F7!$A$6:$A$21,0)),"")</f>
        <v>92</v>
      </c>
      <c r="K14" s="16" t="n">
        <f aca="false">IFERROR(INDEX(F8!$V$6:$V$17,MATCH($A14,F8!$A$6:$A$17,0)),"")</f>
        <v>94</v>
      </c>
      <c r="L14" s="20"/>
      <c r="M14" s="20"/>
      <c r="N14" s="15" t="n">
        <f aca="false">COUNT(D14:M14)</f>
        <v>7</v>
      </c>
      <c r="O14" s="31" t="n">
        <f aca="false">IF(N14&gt;=1,SMALL(D14:M14,1),"")</f>
        <v>83</v>
      </c>
      <c r="P14" s="31" t="n">
        <f aca="false">IF(N14&gt;=2,SMALL(D14:M14,2),"")</f>
        <v>86</v>
      </c>
      <c r="Q14" s="31" t="n">
        <f aca="false">IF(N14&gt;=3,SMALL(D14:M14,3),"")</f>
        <v>86</v>
      </c>
      <c r="R14" s="31" t="n">
        <f aca="false">IF(N14&gt;=4,SMALL(D14:M14,4),"")</f>
        <v>89</v>
      </c>
      <c r="S14" s="31" t="n">
        <f aca="false">IF(N14&gt;=5,SMALL(D14:M14,5),"")</f>
        <v>90</v>
      </c>
      <c r="T14" s="31" t="n">
        <f aca="false">IF(N14&gt;=6,SMALL(D14:M14,6),"")</f>
        <v>92</v>
      </c>
      <c r="U14" s="31" t="n">
        <f aca="false">IF(N14&gt;=7,SMALL(D14:M14,7),"")</f>
        <v>94</v>
      </c>
      <c r="V14" s="32" t="n">
        <f aca="false">IF(N14=0,"",AVERAGE(O14:U14))</f>
        <v>88.5714285714286</v>
      </c>
      <c r="W14" s="31" t="n">
        <f aca="false">IF(N14=0,"",MIN(D14:M14))</f>
        <v>83</v>
      </c>
      <c r="X14" s="15" t="str">
        <f aca="false">IF(N14&gt;=Supuestos!$F$14,"Sí",IF(N14+COUNTIF(Fixture!$H$5:$H$14,"Pendiente")&gt;=Supuestos!$F$14,"Puede","No llega"))</f>
        <v>Sí</v>
      </c>
    </row>
    <row r="15" customFormat="false" ht="15" hidden="false" customHeight="false" outlineLevel="0" collapsed="false">
      <c r="A15" s="13" t="s">
        <v>72</v>
      </c>
      <c r="B15" s="14" t="s">
        <v>73</v>
      </c>
      <c r="C15" s="15" t="s">
        <v>69</v>
      </c>
      <c r="D15" s="16" t="n">
        <f aca="false">IFERROR(INDEX(F1!$V$6:$V$21,MATCH($A15,F1!$A$6:$A$21,0)),"")</f>
        <v>96</v>
      </c>
      <c r="E15" s="16" t="n">
        <f aca="false">IFERROR(INDEX(F2!$V$6:$V$19,MATCH($A15,F2!$A$6:$A$19,0)),"")</f>
        <v>91</v>
      </c>
      <c r="F15" s="16" t="n">
        <f aca="false">IFERROR(INDEX(F3!$V$6:$V$20,MATCH($A15,F3!$A$6:$A$20,0)),"")</f>
        <v>98</v>
      </c>
      <c r="G15" s="20"/>
      <c r="H15" s="16" t="n">
        <f aca="false">IFERROR(INDEX(F5!$V$6:$V$21,MATCH($A15,F5!$A$6:$A$21,0)),"")</f>
        <v>101</v>
      </c>
      <c r="I15" s="16" t="n">
        <f aca="false">IFERROR(INDEX(F6!$V$6:$V$21,MATCH($A15,F6!$A$6:$A$21,0)),"")</f>
        <v>95</v>
      </c>
      <c r="J15" s="16" t="n">
        <f aca="false">IFERROR(INDEX(F7!$V$6:$V$21,MATCH($A15,F7!$A$6:$A$21,0)),"")</f>
        <v>94</v>
      </c>
      <c r="K15" s="16" t="str">
        <f aca="false">IFERROR(INDEX(F8!$V$6:$V$17,MATCH($A15,F8!$A$6:$A$17,0)),"")</f>
        <v/>
      </c>
      <c r="L15" s="20"/>
      <c r="M15" s="20"/>
      <c r="N15" s="15" t="n">
        <f aca="false">COUNT(D15:M15)</f>
        <v>6</v>
      </c>
      <c r="O15" s="31" t="n">
        <f aca="false">IF(N15&gt;=1,SMALL(D15:M15,1),"")</f>
        <v>91</v>
      </c>
      <c r="P15" s="31" t="n">
        <f aca="false">IF(N15&gt;=2,SMALL(D15:M15,2),"")</f>
        <v>94</v>
      </c>
      <c r="Q15" s="31" t="n">
        <f aca="false">IF(N15&gt;=3,SMALL(D15:M15,3),"")</f>
        <v>95</v>
      </c>
      <c r="R15" s="31" t="n">
        <f aca="false">IF(N15&gt;=4,SMALL(D15:M15,4),"")</f>
        <v>96</v>
      </c>
      <c r="S15" s="31" t="n">
        <f aca="false">IF(N15&gt;=5,SMALL(D15:M15,5),"")</f>
        <v>98</v>
      </c>
      <c r="T15" s="31" t="n">
        <f aca="false">IF(N15&gt;=6,SMALL(D15:M15,6),"")</f>
        <v>101</v>
      </c>
      <c r="U15" s="31" t="str">
        <f aca="false">IF(N15&gt;=7,SMALL(D15:M15,7),"")</f>
        <v/>
      </c>
      <c r="V15" s="32" t="n">
        <f aca="false">IF(N15=0,"",AVERAGE(O15:U15))</f>
        <v>95.8333333333333</v>
      </c>
      <c r="W15" s="31" t="n">
        <f aca="false">IF(N15=0,"",MIN(D15:M15))</f>
        <v>91</v>
      </c>
      <c r="X15" s="15" t="str">
        <f aca="false">IF(N15&gt;=Supuestos!$F$14,"Sí",IF(N15+COUNTIF(Fixture!$H$5:$H$14,"Pendiente")&gt;=Supuestos!$F$14,"Puede","No llega"))</f>
        <v>Puede</v>
      </c>
    </row>
    <row r="16" customFormat="false" ht="15" hidden="false" customHeight="false" outlineLevel="0" collapsed="false">
      <c r="A16" s="13" t="s">
        <v>74</v>
      </c>
      <c r="B16" s="14" t="s">
        <v>75</v>
      </c>
      <c r="C16" s="15" t="s">
        <v>69</v>
      </c>
      <c r="D16" s="16" t="n">
        <f aca="false">IFERROR(INDEX(F1!$V$6:$V$21,MATCH($A16,F1!$A$6:$A$21,0)),"")</f>
        <v>84</v>
      </c>
      <c r="E16" s="16" t="n">
        <f aca="false">IFERROR(INDEX(F2!$V$6:$V$19,MATCH($A16,F2!$A$6:$A$19,0)),"")</f>
        <v>100</v>
      </c>
      <c r="F16" s="16" t="n">
        <f aca="false">IFERROR(INDEX(F3!$V$6:$V$20,MATCH($A16,F3!$A$6:$A$20,0)),"")</f>
        <v>90</v>
      </c>
      <c r="G16" s="20"/>
      <c r="H16" s="16" t="n">
        <f aca="false">IFERROR(INDEX(F5!$V$6:$V$21,MATCH($A16,F5!$A$6:$A$21,0)),"")</f>
        <v>90</v>
      </c>
      <c r="I16" s="16" t="n">
        <f aca="false">IFERROR(INDEX(F6!$V$6:$V$21,MATCH($A16,F6!$A$6:$A$21,0)),"")</f>
        <v>93</v>
      </c>
      <c r="J16" s="16" t="n">
        <f aca="false">IFERROR(INDEX(F7!$V$6:$V$21,MATCH($A16,F7!$A$6:$A$21,0)),"")</f>
        <v>94</v>
      </c>
      <c r="K16" s="16" t="str">
        <f aca="false">IFERROR(INDEX(F8!$V$6:$V$17,MATCH($A16,F8!$A$6:$A$17,0)),"")</f>
        <v/>
      </c>
      <c r="L16" s="20"/>
      <c r="M16" s="20"/>
      <c r="N16" s="15" t="n">
        <f aca="false">COUNT(D16:M16)</f>
        <v>6</v>
      </c>
      <c r="O16" s="31" t="n">
        <f aca="false">IF(N16&gt;=1,SMALL(D16:M16,1),"")</f>
        <v>84</v>
      </c>
      <c r="P16" s="31" t="n">
        <f aca="false">IF(N16&gt;=2,SMALL(D16:M16,2),"")</f>
        <v>90</v>
      </c>
      <c r="Q16" s="31" t="n">
        <f aca="false">IF(N16&gt;=3,SMALL(D16:M16,3),"")</f>
        <v>90</v>
      </c>
      <c r="R16" s="31" t="n">
        <f aca="false">IF(N16&gt;=4,SMALL(D16:M16,4),"")</f>
        <v>93</v>
      </c>
      <c r="S16" s="31" t="n">
        <f aca="false">IF(N16&gt;=5,SMALL(D16:M16,5),"")</f>
        <v>94</v>
      </c>
      <c r="T16" s="31" t="n">
        <f aca="false">IF(N16&gt;=6,SMALL(D16:M16,6),"")</f>
        <v>100</v>
      </c>
      <c r="U16" s="31" t="str">
        <f aca="false">IF(N16&gt;=7,SMALL(D16:M16,7),"")</f>
        <v/>
      </c>
      <c r="V16" s="32" t="n">
        <f aca="false">IF(N16=0,"",AVERAGE(O16:U16))</f>
        <v>91.8333333333333</v>
      </c>
      <c r="W16" s="31" t="n">
        <f aca="false">IF(N16=0,"",MIN(D16:M16))</f>
        <v>84</v>
      </c>
      <c r="X16" s="15" t="str">
        <f aca="false">IF(N16&gt;=Supuestos!$F$14,"Sí",IF(N16+COUNTIF(Fixture!$H$5:$H$14,"Pendiente")&gt;=Supuestos!$F$14,"Puede","No llega"))</f>
        <v>Puede</v>
      </c>
    </row>
    <row r="17" customFormat="false" ht="15" hidden="false" customHeight="false" outlineLevel="0" collapsed="false">
      <c r="A17" s="13" t="s">
        <v>76</v>
      </c>
      <c r="B17" s="14" t="s">
        <v>77</v>
      </c>
      <c r="C17" s="15" t="s">
        <v>69</v>
      </c>
      <c r="D17" s="16" t="n">
        <f aca="false">IFERROR(INDEX(F1!$V$6:$V$21,MATCH($A17,F1!$A$6:$A$21,0)),"")</f>
        <v>86</v>
      </c>
      <c r="E17" s="16" t="n">
        <f aca="false">IFERROR(INDEX(F2!$V$6:$V$19,MATCH($A17,F2!$A$6:$A$19,0)),"")</f>
        <v>90</v>
      </c>
      <c r="F17" s="16" t="n">
        <f aca="false">IFERROR(INDEX(F3!$V$6:$V$20,MATCH($A17,F3!$A$6:$A$20,0)),"")</f>
        <v>102</v>
      </c>
      <c r="G17" s="20"/>
      <c r="H17" s="16" t="str">
        <f aca="false">IFERROR(INDEX(F5!$V$6:$V$21,MATCH($A17,F5!$A$6:$A$21,0)),"")</f>
        <v/>
      </c>
      <c r="I17" s="16" t="n">
        <f aca="false">IFERROR(INDEX(F6!$V$6:$V$21,MATCH($A17,F6!$A$6:$A$21,0)),"")</f>
        <v>92</v>
      </c>
      <c r="J17" s="16" t="n">
        <f aca="false">IFERROR(INDEX(F7!$V$6:$V$21,MATCH($A17,F7!$A$6:$A$21,0)),"")</f>
        <v>90</v>
      </c>
      <c r="K17" s="16" t="n">
        <f aca="false">IFERROR(INDEX(F8!$V$6:$V$17,MATCH($A17,F8!$A$6:$A$17,0)),"")</f>
        <v>102</v>
      </c>
      <c r="L17" s="20"/>
      <c r="M17" s="20"/>
      <c r="N17" s="15" t="n">
        <f aca="false">COUNT(D17:M17)</f>
        <v>6</v>
      </c>
      <c r="O17" s="31" t="n">
        <f aca="false">IF(N17&gt;=1,SMALL(D17:M17,1),"")</f>
        <v>86</v>
      </c>
      <c r="P17" s="31" t="n">
        <f aca="false">IF(N17&gt;=2,SMALL(D17:M17,2),"")</f>
        <v>90</v>
      </c>
      <c r="Q17" s="31" t="n">
        <f aca="false">IF(N17&gt;=3,SMALL(D17:M17,3),"")</f>
        <v>90</v>
      </c>
      <c r="R17" s="31" t="n">
        <f aca="false">IF(N17&gt;=4,SMALL(D17:M17,4),"")</f>
        <v>92</v>
      </c>
      <c r="S17" s="31" t="n">
        <f aca="false">IF(N17&gt;=5,SMALL(D17:M17,5),"")</f>
        <v>102</v>
      </c>
      <c r="T17" s="31" t="n">
        <f aca="false">IF(N17&gt;=6,SMALL(D17:M17,6),"")</f>
        <v>102</v>
      </c>
      <c r="U17" s="31" t="str">
        <f aca="false">IF(N17&gt;=7,SMALL(D17:M17,7),"")</f>
        <v/>
      </c>
      <c r="V17" s="32" t="n">
        <f aca="false">IF(N17=0,"",AVERAGE(O17:U17))</f>
        <v>93.6666666666667</v>
      </c>
      <c r="W17" s="31" t="n">
        <f aca="false">IF(N17=0,"",MIN(D17:M17))</f>
        <v>86</v>
      </c>
      <c r="X17" s="15" t="str">
        <f aca="false">IF(N17&gt;=Supuestos!$F$14,"Sí",IF(N17+COUNTIF(Fixture!$H$5:$H$14,"Pendiente")&gt;=Supuestos!$F$14,"Puede","No llega"))</f>
        <v>Puede</v>
      </c>
    </row>
    <row r="18" customFormat="false" ht="15" hidden="false" customHeight="false" outlineLevel="0" collapsed="false">
      <c r="A18" s="13" t="s">
        <v>78</v>
      </c>
      <c r="B18" s="14" t="s">
        <v>79</v>
      </c>
      <c r="C18" s="15" t="s">
        <v>69</v>
      </c>
      <c r="D18" s="16" t="n">
        <f aca="false">IFERROR(INDEX(F1!$V$6:$V$21,MATCH($A18,F1!$A$6:$A$21,0)),"")</f>
        <v>86</v>
      </c>
      <c r="E18" s="16" t="n">
        <f aca="false">IFERROR(INDEX(F2!$V$6:$V$19,MATCH($A18,F2!$A$6:$A$19,0)),"")</f>
        <v>93</v>
      </c>
      <c r="F18" s="16" t="n">
        <f aca="false">IFERROR(INDEX(F3!$V$6:$V$20,MATCH($A18,F3!$A$6:$A$20,0)),"")</f>
        <v>102</v>
      </c>
      <c r="G18" s="20"/>
      <c r="H18" s="16" t="str">
        <f aca="false">IFERROR(INDEX(F5!$V$6:$V$21,MATCH($A18,F5!$A$6:$A$21,0)),"")</f>
        <v/>
      </c>
      <c r="I18" s="16" t="n">
        <f aca="false">IFERROR(INDEX(F6!$V$6:$V$21,MATCH($A18,F6!$A$6:$A$21,0)),"")</f>
        <v>97</v>
      </c>
      <c r="J18" s="16" t="str">
        <f aca="false">IFERROR(INDEX(F7!$V$6:$V$21,MATCH($A18,F7!$A$6:$A$21,0)),"")</f>
        <v/>
      </c>
      <c r="K18" s="16" t="n">
        <f aca="false">IFERROR(INDEX(F8!$V$6:$V$17,MATCH($A18,F8!$A$6:$A$17,0)),"")</f>
        <v>96</v>
      </c>
      <c r="L18" s="20"/>
      <c r="M18" s="20"/>
      <c r="N18" s="15" t="n">
        <f aca="false">COUNT(D18:M18)</f>
        <v>5</v>
      </c>
      <c r="O18" s="31" t="n">
        <f aca="false">IF(N18&gt;=1,SMALL(D18:M18,1),"")</f>
        <v>86</v>
      </c>
      <c r="P18" s="31" t="n">
        <f aca="false">IF(N18&gt;=2,SMALL(D18:M18,2),"")</f>
        <v>93</v>
      </c>
      <c r="Q18" s="31" t="n">
        <f aca="false">IF(N18&gt;=3,SMALL(D18:M18,3),"")</f>
        <v>96</v>
      </c>
      <c r="R18" s="31" t="n">
        <f aca="false">IF(N18&gt;=4,SMALL(D18:M18,4),"")</f>
        <v>97</v>
      </c>
      <c r="S18" s="31" t="n">
        <f aca="false">IF(N18&gt;=5,SMALL(D18:M18,5),"")</f>
        <v>102</v>
      </c>
      <c r="T18" s="31" t="str">
        <f aca="false">IF(N18&gt;=6,SMALL(D18:M18,6),"")</f>
        <v/>
      </c>
      <c r="U18" s="31" t="str">
        <f aca="false">IF(N18&gt;=7,SMALL(D18:M18,7),"")</f>
        <v/>
      </c>
      <c r="V18" s="32" t="n">
        <f aca="false">IF(N18=0,"",AVERAGE(O18:U18))</f>
        <v>94.8</v>
      </c>
      <c r="W18" s="31" t="n">
        <f aca="false">IF(N18=0,"",MIN(D18:M18))</f>
        <v>86</v>
      </c>
      <c r="X18" s="15" t="str">
        <f aca="false">IF(N18&gt;=Supuestos!$F$14,"Sí",IF(N18+COUNTIF(Fixture!$H$5:$H$14,"Pendiente")&gt;=Supuestos!$F$14,"Puede","No llega"))</f>
        <v>Puede</v>
      </c>
    </row>
    <row r="19" customFormat="false" ht="15" hidden="false" customHeight="false" outlineLevel="0" collapsed="false">
      <c r="A19" s="13" t="s">
        <v>80</v>
      </c>
      <c r="B19" s="14" t="s">
        <v>81</v>
      </c>
      <c r="C19" s="15" t="s">
        <v>69</v>
      </c>
      <c r="D19" s="16" t="n">
        <f aca="false">IFERROR(INDEX(F1!$V$6:$V$21,MATCH($A19,F1!$A$6:$A$21,0)),"")</f>
        <v>95</v>
      </c>
      <c r="E19" s="16" t="str">
        <f aca="false">IFERROR(INDEX(F2!$V$6:$V$19,MATCH($A19,F2!$A$6:$A$19,0)),"")</f>
        <v/>
      </c>
      <c r="F19" s="16" t="str">
        <f aca="false">IFERROR(INDEX(F3!$V$6:$V$20,MATCH($A19,F3!$A$6:$A$20,0)),"")</f>
        <v/>
      </c>
      <c r="G19" s="20"/>
      <c r="H19" s="16" t="str">
        <f aca="false">IFERROR(INDEX(F5!$V$6:$V$21,MATCH($A19,F5!$A$6:$A$21,0)),"")</f>
        <v/>
      </c>
      <c r="I19" s="16" t="str">
        <f aca="false">IFERROR(INDEX(F6!$V$6:$V$21,MATCH($A19,F6!$A$6:$A$21,0)),"")</f>
        <v/>
      </c>
      <c r="J19" s="16" t="n">
        <f aca="false">IFERROR(INDEX(F7!$V$6:$V$21,MATCH($A19,F7!$A$6:$A$21,0)),"")</f>
        <v>109</v>
      </c>
      <c r="K19" s="16" t="str">
        <f aca="false">IFERROR(INDEX(F8!$V$6:$V$17,MATCH($A19,F8!$A$6:$A$17,0)),"")</f>
        <v/>
      </c>
      <c r="L19" s="20"/>
      <c r="M19" s="20"/>
      <c r="N19" s="15" t="n">
        <f aca="false">COUNT(D19:M19)</f>
        <v>2</v>
      </c>
      <c r="O19" s="31" t="n">
        <f aca="false">IF(N19&gt;=1,SMALL(D19:M19,1),"")</f>
        <v>95</v>
      </c>
      <c r="P19" s="31" t="n">
        <f aca="false">IF(N19&gt;=2,SMALL(D19:M19,2),"")</f>
        <v>109</v>
      </c>
      <c r="Q19" s="31" t="str">
        <f aca="false">IF(N19&gt;=3,SMALL(D19:M19,3),"")</f>
        <v/>
      </c>
      <c r="R19" s="31" t="str">
        <f aca="false">IF(N19&gt;=4,SMALL(D19:M19,4),"")</f>
        <v/>
      </c>
      <c r="S19" s="31" t="str">
        <f aca="false">IF(N19&gt;=5,SMALL(D19:M19,5),"")</f>
        <v/>
      </c>
      <c r="T19" s="31" t="str">
        <f aca="false">IF(N19&gt;=6,SMALL(D19:M19,6),"")</f>
        <v/>
      </c>
      <c r="U19" s="31" t="str">
        <f aca="false">IF(N19&gt;=7,SMALL(D19:M19,7),"")</f>
        <v/>
      </c>
      <c r="V19" s="32" t="n">
        <f aca="false">IF(N19=0,"",AVERAGE(O19:U19))</f>
        <v>102</v>
      </c>
      <c r="W19" s="31" t="n">
        <f aca="false">IF(N19=0,"",MIN(D19:M19))</f>
        <v>95</v>
      </c>
      <c r="X19" s="15" t="str">
        <f aca="false">IF(N19&gt;=Supuestos!$F$14,"Sí",IF(N19+COUNTIF(Fixture!$H$5:$H$14,"Pendiente")&gt;=Supuestos!$F$14,"Puede","No llega"))</f>
        <v>No llega</v>
      </c>
    </row>
    <row r="20" customFormat="false" ht="15" hidden="false" customHeight="false" outlineLevel="0" collapsed="false">
      <c r="A20" s="13" t="s">
        <v>82</v>
      </c>
      <c r="B20" s="14" t="s">
        <v>83</v>
      </c>
      <c r="C20" s="15" t="s">
        <v>69</v>
      </c>
      <c r="D20" s="16" t="str">
        <f aca="false">IFERROR(INDEX(F1!$V$6:$V$21,MATCH($A20,F1!$A$6:$A$21,0)),"")</f>
        <v/>
      </c>
      <c r="E20" s="16" t="n">
        <f aca="false">IFERROR(INDEX(F2!$V$6:$V$19,MATCH($A20,F2!$A$6:$A$19,0)),"")</f>
        <v>91</v>
      </c>
      <c r="F20" s="16" t="n">
        <f aca="false">IFERROR(INDEX(F3!$V$6:$V$20,MATCH($A20,F3!$A$6:$A$20,0)),"")</f>
        <v>90</v>
      </c>
      <c r="G20" s="20"/>
      <c r="H20" s="16" t="str">
        <f aca="false">IFERROR(INDEX(F5!$V$6:$V$21,MATCH($A20,F5!$A$6:$A$21,0)),"")</f>
        <v/>
      </c>
      <c r="I20" s="16" t="n">
        <f aca="false">IFERROR(INDEX(F6!$V$6:$V$21,MATCH($A20,F6!$A$6:$A$21,0)),"")</f>
        <v>99</v>
      </c>
      <c r="J20" s="16" t="str">
        <f aca="false">IFERROR(INDEX(F7!$V$6:$V$21,MATCH($A20,F7!$A$6:$A$21,0)),"")</f>
        <v/>
      </c>
      <c r="K20" s="16" t="n">
        <f aca="false">IFERROR(INDEX(F8!$V$6:$V$17,MATCH($A20,F8!$A$6:$A$17,0)),"")</f>
        <v>92</v>
      </c>
      <c r="L20" s="20"/>
      <c r="M20" s="20"/>
      <c r="N20" s="15" t="n">
        <f aca="false">COUNT(D20:M20)</f>
        <v>4</v>
      </c>
      <c r="O20" s="31" t="n">
        <f aca="false">IF(N20&gt;=1,SMALL(D20:M20,1),"")</f>
        <v>90</v>
      </c>
      <c r="P20" s="31" t="n">
        <f aca="false">IF(N20&gt;=2,SMALL(D20:M20,2),"")</f>
        <v>91</v>
      </c>
      <c r="Q20" s="31" t="n">
        <f aca="false">IF(N20&gt;=3,SMALL(D20:M20,3),"")</f>
        <v>92</v>
      </c>
      <c r="R20" s="31" t="n">
        <f aca="false">IF(N20&gt;=4,SMALL(D20:M20,4),"")</f>
        <v>99</v>
      </c>
      <c r="S20" s="31" t="str">
        <f aca="false">IF(N20&gt;=5,SMALL(D20:M20,5),"")</f>
        <v/>
      </c>
      <c r="T20" s="31" t="str">
        <f aca="false">IF(N20&gt;=6,SMALL(D20:M20,6),"")</f>
        <v/>
      </c>
      <c r="U20" s="31" t="str">
        <f aca="false">IF(N20&gt;=7,SMALL(D20:M20,7),"")</f>
        <v/>
      </c>
      <c r="V20" s="32" t="n">
        <f aca="false">IF(N20=0,"",AVERAGE(O20:U20))</f>
        <v>93</v>
      </c>
      <c r="W20" s="31" t="n">
        <f aca="false">IF(N20=0,"",MIN(D20:M20))</f>
        <v>90</v>
      </c>
      <c r="X20" s="15" t="str">
        <f aca="false">IF(N20&gt;=Supuestos!$F$14,"Sí",IF(N20+COUNTIF(Fixture!$H$5:$H$14,"Pendiente")&gt;=Supuestos!$F$14,"Puede","No llega"))</f>
        <v>No llega</v>
      </c>
    </row>
    <row r="22" customFormat="false" ht="15" hidden="false" customHeight="false" outlineLevel="0" collapsed="false">
      <c r="A22" s="13" t="s">
        <v>84</v>
      </c>
      <c r="B22" s="19" t="s">
        <v>85</v>
      </c>
      <c r="C22" s="15" t="s">
        <v>86</v>
      </c>
      <c r="D22" s="16" t="n">
        <f aca="false">IFERROR(INDEX(F1!$V$6:$V$21,MATCH($A22,F1!$A$6:$A$21,0)),"")</f>
        <v>117</v>
      </c>
      <c r="E22" s="16" t="n">
        <f aca="false">IFERROR(INDEX(F2!$V$6:$V$19,MATCH($A22,F2!$A$6:$A$19,0)),"")</f>
        <v>107</v>
      </c>
      <c r="F22" s="16" t="n">
        <f aca="false">IFERROR(INDEX(F3!$V$6:$V$20,MATCH($A22,F3!$A$6:$A$20,0)),"")</f>
        <v>120</v>
      </c>
      <c r="G22" s="20"/>
      <c r="H22" s="16" t="str">
        <f aca="false">IFERROR(INDEX(F5!$V$6:$V$21,MATCH($A22,F5!$A$6:$A$21,0)),"")</f>
        <v/>
      </c>
      <c r="I22" s="16" t="str">
        <f aca="false">IFERROR(INDEX(F6!$V$6:$V$21,MATCH($A22,F6!$A$6:$A$21,0)),"")</f>
        <v/>
      </c>
      <c r="J22" s="16" t="str">
        <f aca="false">IFERROR(INDEX(F7!$V$6:$V$21,MATCH($A22,F7!$A$6:$A$21,0)),"")</f>
        <v/>
      </c>
      <c r="K22" s="16" t="n">
        <f aca="false">IFERROR(INDEX(F8!$V$6:$V$17,MATCH($A22,F8!$A$6:$A$17,0)),"")</f>
        <v>97</v>
      </c>
      <c r="L22" s="20"/>
      <c r="M22" s="20"/>
      <c r="N22" s="15" t="n">
        <f aca="false">COUNT(D22:M22)</f>
        <v>4</v>
      </c>
      <c r="O22" s="31" t="n">
        <f aca="false">IF(N22&gt;=1,SMALL(D22:M22,1),"")</f>
        <v>97</v>
      </c>
      <c r="P22" s="31" t="n">
        <f aca="false">IF(N22&gt;=2,SMALL(D22:M22,2),"")</f>
        <v>107</v>
      </c>
      <c r="Q22" s="31" t="n">
        <f aca="false">IF(N22&gt;=3,SMALL(D22:M22,3),"")</f>
        <v>117</v>
      </c>
      <c r="R22" s="31" t="n">
        <f aca="false">IF(N22&gt;=4,SMALL(D22:M22,4),"")</f>
        <v>120</v>
      </c>
      <c r="S22" s="31" t="str">
        <f aca="false">IF(N22&gt;=5,SMALL(D22:M22,5),"")</f>
        <v/>
      </c>
      <c r="T22" s="31" t="str">
        <f aca="false">IF(N22&gt;=6,SMALL(D22:M22,6),"")</f>
        <v/>
      </c>
      <c r="U22" s="31" t="str">
        <f aca="false">IF(N22&gt;=7,SMALL(D22:M22,7),"")</f>
        <v/>
      </c>
      <c r="V22" s="32" t="n">
        <f aca="false">IF(N22=0,"",AVERAGE(O22:U22))</f>
        <v>110.25</v>
      </c>
      <c r="W22" s="31" t="n">
        <f aca="false">IF(N22=0,"",MIN(D22:M22))</f>
        <v>97</v>
      </c>
      <c r="X22" s="15" t="str">
        <f aca="false">"No compite"</f>
        <v>No compite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21" min="4" style="0" width="4.2"/>
    <col collapsed="false" customWidth="true" hidden="false" outlineLevel="0" max="22" min="22" style="0" width="7"/>
    <col collapsed="false" customWidth="true" hidden="false" outlineLevel="0" max="23" min="23" style="0" width="8"/>
    <col collapsed="false" customWidth="true" hidden="false" outlineLevel="0" max="26" min="24" style="0" width="7"/>
    <col collapsed="false" customWidth="true" hidden="false" outlineLevel="0" max="28" min="27" style="0" width="6"/>
    <col collapsed="false" customWidth="true" hidden="false" outlineLevel="0" max="29" min="29" style="0" width="8"/>
    <col collapsed="false" customWidth="true" hidden="false" outlineLevel="0" max="30" min="30" style="0" width="7"/>
    <col collapsed="false" customWidth="true" hidden="false" outlineLevel="0" max="31" min="31" style="0" width="8"/>
    <col collapsed="false" customWidth="true" hidden="false" outlineLevel="0" max="36" min="32" style="0" width="6"/>
  </cols>
  <sheetData>
    <row r="1" customFormat="false" ht="17.3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15" hidden="false" customHeight="false" outlineLevel="0" collapsed="false">
      <c r="B4" s="33" t="s">
        <v>119</v>
      </c>
      <c r="D4" s="34" t="n">
        <v>5</v>
      </c>
      <c r="E4" s="34" t="n">
        <v>3</v>
      </c>
      <c r="F4" s="34" t="n">
        <v>4</v>
      </c>
      <c r="G4" s="34" t="n">
        <v>5</v>
      </c>
      <c r="H4" s="34" t="n">
        <v>4</v>
      </c>
      <c r="I4" s="34" t="n">
        <v>4</v>
      </c>
      <c r="J4" s="34" t="n">
        <v>3</v>
      </c>
      <c r="K4" s="34" t="n">
        <v>4</v>
      </c>
      <c r="L4" s="34" t="n">
        <v>4</v>
      </c>
      <c r="M4" s="34" t="n">
        <v>4</v>
      </c>
      <c r="N4" s="34" t="n">
        <v>5</v>
      </c>
      <c r="O4" s="34" t="n">
        <v>4</v>
      </c>
      <c r="P4" s="34" t="n">
        <v>4</v>
      </c>
      <c r="Q4" s="34" t="n">
        <v>3</v>
      </c>
      <c r="R4" s="34" t="n">
        <v>4</v>
      </c>
      <c r="S4" s="34" t="n">
        <v>4</v>
      </c>
      <c r="T4" s="34" t="n">
        <v>3</v>
      </c>
      <c r="U4" s="34" t="n">
        <v>5</v>
      </c>
      <c r="V4" s="35" t="n">
        <f aca="false">SUM(D4:U4)</f>
        <v>72</v>
      </c>
    </row>
    <row r="5" customFormat="false" ht="15" hidden="false" customHeight="false" outlineLevel="0" collapsed="false">
      <c r="A5" s="8" t="s">
        <v>35</v>
      </c>
      <c r="B5" s="8" t="s">
        <v>9</v>
      </c>
      <c r="C5" s="8" t="s">
        <v>36</v>
      </c>
      <c r="D5" s="8" t="s">
        <v>120</v>
      </c>
      <c r="E5" s="8" t="s">
        <v>121</v>
      </c>
      <c r="F5" s="8" t="s">
        <v>122</v>
      </c>
      <c r="G5" s="8" t="s">
        <v>123</v>
      </c>
      <c r="H5" s="8" t="s">
        <v>124</v>
      </c>
      <c r="I5" s="8" t="s">
        <v>125</v>
      </c>
      <c r="J5" s="8" t="s">
        <v>126</v>
      </c>
      <c r="K5" s="8" t="s">
        <v>127</v>
      </c>
      <c r="L5" s="8" t="s">
        <v>128</v>
      </c>
      <c r="M5" s="8" t="s">
        <v>129</v>
      </c>
      <c r="N5" s="8" t="s">
        <v>130</v>
      </c>
      <c r="O5" s="8" t="s">
        <v>131</v>
      </c>
      <c r="P5" s="8" t="s">
        <v>132</v>
      </c>
      <c r="Q5" s="8" t="s">
        <v>133</v>
      </c>
      <c r="R5" s="8" t="s">
        <v>134</v>
      </c>
      <c r="S5" s="8" t="s">
        <v>135</v>
      </c>
      <c r="T5" s="8" t="s">
        <v>136</v>
      </c>
      <c r="U5" s="8" t="s">
        <v>137</v>
      </c>
      <c r="V5" s="8" t="s">
        <v>138</v>
      </c>
      <c r="W5" s="8" t="s">
        <v>139</v>
      </c>
      <c r="X5" s="8" t="s">
        <v>140</v>
      </c>
      <c r="Y5" s="8" t="s">
        <v>141</v>
      </c>
      <c r="Z5" s="8" t="s">
        <v>142</v>
      </c>
      <c r="AA5" s="8" t="s">
        <v>143</v>
      </c>
      <c r="AB5" s="8" t="s">
        <v>144</v>
      </c>
      <c r="AC5" s="8" t="s">
        <v>10</v>
      </c>
      <c r="AD5" s="8" t="s">
        <v>145</v>
      </c>
      <c r="AE5" s="8" t="s">
        <v>146</v>
      </c>
      <c r="AF5" s="8" t="s">
        <v>147</v>
      </c>
      <c r="AG5" s="8" t="s">
        <v>148</v>
      </c>
      <c r="AH5" s="8" t="s">
        <v>149</v>
      </c>
      <c r="AI5" s="8" t="s">
        <v>150</v>
      </c>
      <c r="AJ5" s="8" t="s">
        <v>151</v>
      </c>
    </row>
    <row r="6" customFormat="false" ht="15" hidden="false" customHeight="false" outlineLevel="0" collapsed="false">
      <c r="A6" s="36" t="s">
        <v>50</v>
      </c>
      <c r="B6" s="37" t="s">
        <v>51</v>
      </c>
      <c r="C6" s="38" t="s">
        <v>52</v>
      </c>
      <c r="D6" s="38" t="n">
        <v>5</v>
      </c>
      <c r="E6" s="38" t="n">
        <v>4</v>
      </c>
      <c r="F6" s="38" t="n">
        <v>5</v>
      </c>
      <c r="G6" s="38" t="n">
        <v>6</v>
      </c>
      <c r="H6" s="38" t="n">
        <v>5</v>
      </c>
      <c r="I6" s="38" t="n">
        <v>5</v>
      </c>
      <c r="J6" s="38" t="n">
        <v>3</v>
      </c>
      <c r="K6" s="38" t="n">
        <v>6</v>
      </c>
      <c r="L6" s="38" t="n">
        <v>6</v>
      </c>
      <c r="M6" s="38" t="n">
        <v>5</v>
      </c>
      <c r="N6" s="38" t="n">
        <v>7</v>
      </c>
      <c r="O6" s="38" t="n">
        <v>4</v>
      </c>
      <c r="P6" s="38" t="n">
        <v>6</v>
      </c>
      <c r="Q6" s="38" t="n">
        <v>3</v>
      </c>
      <c r="R6" s="38" t="n">
        <v>4</v>
      </c>
      <c r="S6" s="38" t="n">
        <v>4</v>
      </c>
      <c r="T6" s="38" t="n">
        <v>4</v>
      </c>
      <c r="U6" s="38" t="n">
        <v>4</v>
      </c>
      <c r="V6" s="39" t="n">
        <f aca="false">IF(COUNT(D6:U6)=18,SUM(D6:U6),IF(W6="","",W6))</f>
        <v>86</v>
      </c>
      <c r="W6" s="20"/>
      <c r="X6" s="38" t="n">
        <v>8</v>
      </c>
      <c r="Y6" s="15" t="n">
        <f aca="false">IF(X6="","",MIN(X6,Supuestos!$F$5))</f>
        <v>8</v>
      </c>
      <c r="Z6" s="39" t="n">
        <f aca="false">IF(OR(V6="",Y6=""),"",V6-Y6)</f>
        <v>78</v>
      </c>
      <c r="AA6" s="15" t="n">
        <f aca="false">IF(Z6="","",COUNTIF($Z$6:$Z$21,"&lt;"&amp;Z6)+1)</f>
        <v>11</v>
      </c>
      <c r="AB6" s="15" t="n">
        <f aca="false">IF(Z6="","",COUNTIF($Z$6:$Z$21,Z6))</f>
        <v>2</v>
      </c>
      <c r="AC6" s="40" t="n">
        <f aca="false">IF(Z6="","",ROUND(SUMPRODUCT((Supuestos!$A$5:$A$28&gt;=AA6)*(Supuestos!$A$5:$A$28&lt;AA6+AB6)*Supuestos!$B$5:$B$28)/AB6*Supuestos!$F$6,0))</f>
        <v>20</v>
      </c>
      <c r="AD6" s="15" t="n">
        <f aca="false">IF(0=1,0,IFERROR(INDEX(Jugadores!$E$5:$E$21,MATCH(A6,Jugadores!$A$5:$A$21,0)),0))</f>
        <v>1</v>
      </c>
      <c r="AE6" s="31" t="n">
        <f aca="false">IF(OR(AC6="",AD6=0),0,AC6)</f>
        <v>20</v>
      </c>
      <c r="AF6" s="15" t="n">
        <f aca="false">IF(COUNT(D6:U6)&lt;18,"",SUMPRODUCT(--((D6:U6)-$D$4:$U$4&lt;=-2)))</f>
        <v>0</v>
      </c>
      <c r="AG6" s="15" t="n">
        <f aca="false">IF(COUNT(D6:U6)&lt;18,"",SUMPRODUCT(--((D6:U6)-$D$4:$U$4=-1)))</f>
        <v>1</v>
      </c>
      <c r="AH6" s="15" t="n">
        <f aca="false">IF(COUNT(D6:U6)&lt;18,"",SUMPRODUCT(--((D6:U6)-$D$4:$U$4=0)))</f>
        <v>6</v>
      </c>
      <c r="AI6" s="15" t="n">
        <f aca="false">IF(COUNT(D6:U6)&lt;18,"",SUMPRODUCT(--((D6:U6)-$D$4:$U$4=1)))</f>
        <v>7</v>
      </c>
      <c r="AJ6" s="15" t="n">
        <f aca="false">IF(COUNT(D6:U6)&lt;18,"",SUMPRODUCT(--((D6:U6)-$D$4:$U$4&gt;=2)))</f>
        <v>4</v>
      </c>
    </row>
    <row r="7" customFormat="false" ht="15" hidden="false" customHeight="false" outlineLevel="0" collapsed="false">
      <c r="A7" s="36" t="s">
        <v>53</v>
      </c>
      <c r="B7" s="37" t="s">
        <v>54</v>
      </c>
      <c r="C7" s="38" t="s">
        <v>52</v>
      </c>
      <c r="D7" s="38" t="n">
        <v>4</v>
      </c>
      <c r="E7" s="38" t="n">
        <v>4</v>
      </c>
      <c r="F7" s="38" t="n">
        <v>7</v>
      </c>
      <c r="G7" s="38" t="n">
        <v>5</v>
      </c>
      <c r="H7" s="38" t="n">
        <v>4</v>
      </c>
      <c r="I7" s="38" t="n">
        <v>5</v>
      </c>
      <c r="J7" s="38" t="n">
        <v>3</v>
      </c>
      <c r="K7" s="38" t="n">
        <v>3</v>
      </c>
      <c r="L7" s="38" t="n">
        <v>4</v>
      </c>
      <c r="M7" s="38" t="n">
        <v>5</v>
      </c>
      <c r="N7" s="38" t="n">
        <v>5</v>
      </c>
      <c r="O7" s="38" t="n">
        <v>5</v>
      </c>
      <c r="P7" s="38" t="n">
        <v>6</v>
      </c>
      <c r="Q7" s="38" t="n">
        <v>5</v>
      </c>
      <c r="R7" s="38" t="n">
        <v>6</v>
      </c>
      <c r="S7" s="38" t="n">
        <v>4</v>
      </c>
      <c r="T7" s="38" t="n">
        <v>4</v>
      </c>
      <c r="U7" s="38" t="n">
        <v>7</v>
      </c>
      <c r="V7" s="39" t="n">
        <f aca="false">IF(COUNT(D7:U7)=18,SUM(D7:U7),IF(W7="","",W7))</f>
        <v>86</v>
      </c>
      <c r="W7" s="20"/>
      <c r="X7" s="38" t="n">
        <v>11</v>
      </c>
      <c r="Y7" s="15" t="n">
        <f aca="false">IF(X7="","",MIN(X7,Supuestos!$F$5))</f>
        <v>11</v>
      </c>
      <c r="Z7" s="39" t="n">
        <f aca="false">IF(OR(V7="",Y7=""),"",V7-Y7)</f>
        <v>75</v>
      </c>
      <c r="AA7" s="15" t="n">
        <f aca="false">IF(Z7="","",COUNTIF($Z$6:$Z$21,"&lt;"&amp;Z7)+1)</f>
        <v>9</v>
      </c>
      <c r="AB7" s="15" t="n">
        <f aca="false">IF(Z7="","",COUNTIF($Z$6:$Z$21,Z7))</f>
        <v>2</v>
      </c>
      <c r="AC7" s="40" t="n">
        <f aca="false">IF(Z7="","",ROUND(SUMPRODUCT((Supuestos!$A$5:$A$28&gt;=AA7)*(Supuestos!$A$5:$A$28&lt;AA7+AB7)*Supuestos!$B$5:$B$28)/AB7*Supuestos!$F$6,0))</f>
        <v>73</v>
      </c>
      <c r="AD7" s="15" t="n">
        <f aca="false">IF(0=1,0,IFERROR(INDEX(Jugadores!$E$5:$E$21,MATCH(A7,Jugadores!$A$5:$A$21,0)),0))</f>
        <v>1</v>
      </c>
      <c r="AE7" s="31" t="n">
        <f aca="false">IF(OR(AC7="",AD7=0),0,AC7)</f>
        <v>73</v>
      </c>
      <c r="AF7" s="15" t="n">
        <f aca="false">IF(COUNT(D7:U7)&lt;18,"",SUMPRODUCT(--((D7:U7)-$D$4:$U$4&lt;=-2)))</f>
        <v>0</v>
      </c>
      <c r="AG7" s="15" t="n">
        <f aca="false">IF(COUNT(D7:U7)&lt;18,"",SUMPRODUCT(--((D7:U7)-$D$4:$U$4=-1)))</f>
        <v>2</v>
      </c>
      <c r="AH7" s="15" t="n">
        <f aca="false">IF(COUNT(D7:U7)&lt;18,"",SUMPRODUCT(--((D7:U7)-$D$4:$U$4=0)))</f>
        <v>6</v>
      </c>
      <c r="AI7" s="15" t="n">
        <f aca="false">IF(COUNT(D7:U7)&lt;18,"",SUMPRODUCT(--((D7:U7)-$D$4:$U$4=1)))</f>
        <v>5</v>
      </c>
      <c r="AJ7" s="15" t="n">
        <f aca="false">IF(COUNT(D7:U7)&lt;18,"",SUMPRODUCT(--((D7:U7)-$D$4:$U$4&gt;=2)))</f>
        <v>5</v>
      </c>
    </row>
    <row r="8" customFormat="false" ht="15" hidden="false" customHeight="false" outlineLevel="0" collapsed="false">
      <c r="A8" s="36" t="s">
        <v>55</v>
      </c>
      <c r="B8" s="37" t="s">
        <v>56</v>
      </c>
      <c r="C8" s="38" t="s">
        <v>52</v>
      </c>
      <c r="D8" s="38" t="n">
        <v>7</v>
      </c>
      <c r="E8" s="38" t="n">
        <v>4</v>
      </c>
      <c r="F8" s="38" t="n">
        <v>4</v>
      </c>
      <c r="G8" s="38" t="n">
        <v>6</v>
      </c>
      <c r="H8" s="38" t="n">
        <v>7</v>
      </c>
      <c r="I8" s="38" t="n">
        <v>4</v>
      </c>
      <c r="J8" s="38" t="n">
        <v>4</v>
      </c>
      <c r="K8" s="38" t="n">
        <v>5</v>
      </c>
      <c r="L8" s="38" t="n">
        <v>4</v>
      </c>
      <c r="M8" s="38" t="n">
        <v>4</v>
      </c>
      <c r="N8" s="38" t="n">
        <v>5</v>
      </c>
      <c r="O8" s="38" t="n">
        <v>5</v>
      </c>
      <c r="P8" s="38" t="n">
        <v>4</v>
      </c>
      <c r="Q8" s="38" t="n">
        <v>5</v>
      </c>
      <c r="R8" s="38" t="n">
        <v>4</v>
      </c>
      <c r="S8" s="38" t="n">
        <v>4</v>
      </c>
      <c r="T8" s="38" t="n">
        <v>4</v>
      </c>
      <c r="U8" s="38" t="n">
        <v>7</v>
      </c>
      <c r="V8" s="39" t="n">
        <f aca="false">IF(COUNT(D8:U8)=18,SUM(D8:U8),IF(W8="","",W8))</f>
        <v>87</v>
      </c>
      <c r="W8" s="20"/>
      <c r="X8" s="38" t="n">
        <v>15</v>
      </c>
      <c r="Y8" s="15" t="n">
        <f aca="false">IF(X8="","",MIN(X8,Supuestos!$F$5))</f>
        <v>15</v>
      </c>
      <c r="Z8" s="39" t="n">
        <f aca="false">IF(OR(V8="",Y8=""),"",V8-Y8)</f>
        <v>72</v>
      </c>
      <c r="AA8" s="15" t="n">
        <f aca="false">IF(Z8="","",COUNTIF($Z$6:$Z$21,"&lt;"&amp;Z8)+1)</f>
        <v>6</v>
      </c>
      <c r="AB8" s="15" t="n">
        <f aca="false">IF(Z8="","",COUNTIF($Z$6:$Z$21,Z8))</f>
        <v>2</v>
      </c>
      <c r="AC8" s="40" t="n">
        <f aca="false">IF(Z8="","",ROUND(SUMPRODUCT((Supuestos!$A$5:$A$28&gt;=AA8)*(Supuestos!$A$5:$A$28&lt;AA8+AB8)*Supuestos!$B$5:$B$28)/AB8*Supuestos!$F$6,0))</f>
        <v>95</v>
      </c>
      <c r="AD8" s="15" t="n">
        <f aca="false">IF(0=1,0,IFERROR(INDEX(Jugadores!$E$5:$E$21,MATCH(A8,Jugadores!$A$5:$A$21,0)),0))</f>
        <v>1</v>
      </c>
      <c r="AE8" s="31" t="n">
        <f aca="false">IF(OR(AC8="",AD8=0),0,AC8)</f>
        <v>95</v>
      </c>
      <c r="AF8" s="15" t="n">
        <f aca="false">IF(COUNT(D8:U8)&lt;18,"",SUMPRODUCT(--((D8:U8)-$D$4:$U$4&lt;=-2)))</f>
        <v>0</v>
      </c>
      <c r="AG8" s="15" t="n">
        <f aca="false">IF(COUNT(D8:U8)&lt;18,"",SUMPRODUCT(--((D8:U8)-$D$4:$U$4=-1)))</f>
        <v>0</v>
      </c>
      <c r="AH8" s="15" t="n">
        <f aca="false">IF(COUNT(D8:U8)&lt;18,"",SUMPRODUCT(--((D8:U8)-$D$4:$U$4=0)))</f>
        <v>8</v>
      </c>
      <c r="AI8" s="15" t="n">
        <f aca="false">IF(COUNT(D8:U8)&lt;18,"",SUMPRODUCT(--((D8:U8)-$D$4:$U$4=1)))</f>
        <v>6</v>
      </c>
      <c r="AJ8" s="15" t="n">
        <f aca="false">IF(COUNT(D8:U8)&lt;18,"",SUMPRODUCT(--((D8:U8)-$D$4:$U$4&gt;=2)))</f>
        <v>4</v>
      </c>
    </row>
    <row r="9" customFormat="false" ht="15" hidden="false" customHeight="false" outlineLevel="0" collapsed="false">
      <c r="A9" s="36" t="s">
        <v>57</v>
      </c>
      <c r="B9" s="37" t="s">
        <v>58</v>
      </c>
      <c r="C9" s="38" t="s">
        <v>52</v>
      </c>
      <c r="D9" s="38" t="n">
        <v>7</v>
      </c>
      <c r="E9" s="38" t="n">
        <v>3</v>
      </c>
      <c r="F9" s="38" t="n">
        <v>6</v>
      </c>
      <c r="G9" s="38" t="n">
        <v>6</v>
      </c>
      <c r="H9" s="38" t="n">
        <v>7</v>
      </c>
      <c r="I9" s="38" t="n">
        <v>5</v>
      </c>
      <c r="J9" s="38" t="n">
        <v>3</v>
      </c>
      <c r="K9" s="38" t="n">
        <v>5</v>
      </c>
      <c r="L9" s="38" t="n">
        <v>6</v>
      </c>
      <c r="M9" s="38" t="n">
        <v>5</v>
      </c>
      <c r="N9" s="38" t="n">
        <v>8</v>
      </c>
      <c r="O9" s="38" t="n">
        <v>6</v>
      </c>
      <c r="P9" s="38" t="n">
        <v>6</v>
      </c>
      <c r="Q9" s="38" t="n">
        <v>3</v>
      </c>
      <c r="R9" s="38" t="n">
        <v>5</v>
      </c>
      <c r="S9" s="38" t="n">
        <v>6</v>
      </c>
      <c r="T9" s="38" t="n">
        <v>3</v>
      </c>
      <c r="U9" s="38" t="n">
        <v>6</v>
      </c>
      <c r="V9" s="39" t="n">
        <f aca="false">IF(COUNT(D9:U9)=18,SUM(D9:U9),IF(W9="","",W9))</f>
        <v>96</v>
      </c>
      <c r="W9" s="20"/>
      <c r="X9" s="38" t="n">
        <v>17</v>
      </c>
      <c r="Y9" s="15" t="n">
        <f aca="false">IF(X9="","",MIN(X9,Supuestos!$F$5))</f>
        <v>17</v>
      </c>
      <c r="Z9" s="39" t="n">
        <f aca="false">IF(OR(V9="",Y9=""),"",V9-Y9)</f>
        <v>79</v>
      </c>
      <c r="AA9" s="15" t="n">
        <f aca="false">IF(Z9="","",COUNTIF($Z$6:$Z$21,"&lt;"&amp;Z9)+1)</f>
        <v>13</v>
      </c>
      <c r="AB9" s="15" t="n">
        <f aca="false">IF(Z9="","",COUNTIF($Z$6:$Z$21,Z9))</f>
        <v>1</v>
      </c>
      <c r="AC9" s="40" t="n">
        <f aca="false">IF(Z9="","",ROUND(SUMPRODUCT((Supuestos!$A$5:$A$28&gt;=AA9)*(Supuestos!$A$5:$A$28&lt;AA9+AB9)*Supuestos!$B$5:$B$28)/AB9*Supuestos!$F$6,0))</f>
        <v>20</v>
      </c>
      <c r="AD9" s="15" t="n">
        <f aca="false">IF(0=1,0,IFERROR(INDEX(Jugadores!$E$5:$E$21,MATCH(A9,Jugadores!$A$5:$A$21,0)),0))</f>
        <v>1</v>
      </c>
      <c r="AE9" s="31" t="n">
        <f aca="false">IF(OR(AC9="",AD9=0),0,AC9)</f>
        <v>20</v>
      </c>
      <c r="AF9" s="15" t="n">
        <f aca="false">IF(COUNT(D9:U9)&lt;18,"",SUMPRODUCT(--((D9:U9)-$D$4:$U$4&lt;=-2)))</f>
        <v>0</v>
      </c>
      <c r="AG9" s="15" t="n">
        <f aca="false">IF(COUNT(D9:U9)&lt;18,"",SUMPRODUCT(--((D9:U9)-$D$4:$U$4=-1)))</f>
        <v>0</v>
      </c>
      <c r="AH9" s="15" t="n">
        <f aca="false">IF(COUNT(D9:U9)&lt;18,"",SUMPRODUCT(--((D9:U9)-$D$4:$U$4=0)))</f>
        <v>4</v>
      </c>
      <c r="AI9" s="15" t="n">
        <f aca="false">IF(COUNT(D9:U9)&lt;18,"",SUMPRODUCT(--((D9:U9)-$D$4:$U$4=1)))</f>
        <v>6</v>
      </c>
      <c r="AJ9" s="15" t="n">
        <f aca="false">IF(COUNT(D9:U9)&lt;18,"",SUMPRODUCT(--((D9:U9)-$D$4:$U$4&gt;=2)))</f>
        <v>8</v>
      </c>
    </row>
    <row r="10" customFormat="false" ht="15" hidden="false" customHeight="false" outlineLevel="0" collapsed="false">
      <c r="A10" s="36" t="s">
        <v>59</v>
      </c>
      <c r="B10" s="37" t="s">
        <v>60</v>
      </c>
      <c r="C10" s="38" t="s">
        <v>52</v>
      </c>
      <c r="D10" s="38" t="n">
        <v>5</v>
      </c>
      <c r="E10" s="38" t="n">
        <v>4</v>
      </c>
      <c r="F10" s="38" t="n">
        <v>5</v>
      </c>
      <c r="G10" s="38" t="n">
        <v>8</v>
      </c>
      <c r="H10" s="38" t="n">
        <v>5</v>
      </c>
      <c r="I10" s="38" t="n">
        <v>6</v>
      </c>
      <c r="J10" s="38" t="n">
        <v>5</v>
      </c>
      <c r="K10" s="38" t="n">
        <v>7</v>
      </c>
      <c r="L10" s="38" t="n">
        <v>4</v>
      </c>
      <c r="M10" s="38" t="n">
        <v>6</v>
      </c>
      <c r="N10" s="38" t="n">
        <v>7</v>
      </c>
      <c r="O10" s="38" t="n">
        <v>5</v>
      </c>
      <c r="P10" s="38" t="n">
        <v>5</v>
      </c>
      <c r="Q10" s="38" t="n">
        <v>3</v>
      </c>
      <c r="R10" s="38" t="n">
        <v>7</v>
      </c>
      <c r="S10" s="38" t="n">
        <v>5</v>
      </c>
      <c r="T10" s="38" t="n">
        <v>5</v>
      </c>
      <c r="U10" s="38" t="n">
        <v>5</v>
      </c>
      <c r="V10" s="39" t="n">
        <f aca="false">IF(COUNT(D10:U10)=18,SUM(D10:U10),IF(W10="","",W10))</f>
        <v>97</v>
      </c>
      <c r="W10" s="20"/>
      <c r="X10" s="38" t="n">
        <v>15</v>
      </c>
      <c r="Y10" s="15" t="n">
        <f aca="false">IF(X10="","",MIN(X10,Supuestos!$F$5))</f>
        <v>15</v>
      </c>
      <c r="Z10" s="39" t="n">
        <f aca="false">IF(OR(V10="",Y10=""),"",V10-Y10)</f>
        <v>82</v>
      </c>
      <c r="AA10" s="15" t="n">
        <f aca="false">IF(Z10="","",COUNTIF($Z$6:$Z$21,"&lt;"&amp;Z10)+1)</f>
        <v>14</v>
      </c>
      <c r="AB10" s="15" t="n">
        <f aca="false">IF(Z10="","",COUNTIF($Z$6:$Z$21,Z10))</f>
        <v>1</v>
      </c>
      <c r="AC10" s="40" t="n">
        <f aca="false">IF(Z10="","",ROUND(SUMPRODUCT((Supuestos!$A$5:$A$28&gt;=AA10)*(Supuestos!$A$5:$A$28&lt;AA10+AB10)*Supuestos!$B$5:$B$28)/AB10*Supuestos!$F$6,0))</f>
        <v>20</v>
      </c>
      <c r="AD10" s="15" t="n">
        <f aca="false">IF(0=1,0,IFERROR(INDEX(Jugadores!$E$5:$E$21,MATCH(A10,Jugadores!$A$5:$A$21,0)),0))</f>
        <v>1</v>
      </c>
      <c r="AE10" s="31" t="n">
        <f aca="false">IF(OR(AC10="",AD10=0),0,AC10)</f>
        <v>20</v>
      </c>
      <c r="AF10" s="15" t="n">
        <f aca="false">IF(COUNT(D10:U10)&lt;18,"",SUMPRODUCT(--((D10:U10)-$D$4:$U$4&lt;=-2)))</f>
        <v>0</v>
      </c>
      <c r="AG10" s="15" t="n">
        <f aca="false">IF(COUNT(D10:U10)&lt;18,"",SUMPRODUCT(--((D10:U10)-$D$4:$U$4=-1)))</f>
        <v>0</v>
      </c>
      <c r="AH10" s="15" t="n">
        <f aca="false">IF(COUNT(D10:U10)&lt;18,"",SUMPRODUCT(--((D10:U10)-$D$4:$U$4=0)))</f>
        <v>4</v>
      </c>
      <c r="AI10" s="15" t="n">
        <f aca="false">IF(COUNT(D10:U10)&lt;18,"",SUMPRODUCT(--((D10:U10)-$D$4:$U$4=1)))</f>
        <v>6</v>
      </c>
      <c r="AJ10" s="15" t="n">
        <f aca="false">IF(COUNT(D10:U10)&lt;18,"",SUMPRODUCT(--((D10:U10)-$D$4:$U$4&gt;=2)))</f>
        <v>8</v>
      </c>
    </row>
    <row r="11" customFormat="false" ht="15" hidden="false" customHeight="false" outlineLevel="0" collapsed="false">
      <c r="A11" s="36" t="s">
        <v>61</v>
      </c>
      <c r="B11" s="37" t="s">
        <v>62</v>
      </c>
      <c r="C11" s="38" t="s">
        <v>52</v>
      </c>
      <c r="D11" s="38" t="n">
        <v>7</v>
      </c>
      <c r="E11" s="38" t="n">
        <v>4</v>
      </c>
      <c r="F11" s="38" t="n">
        <v>8</v>
      </c>
      <c r="G11" s="38" t="n">
        <v>8</v>
      </c>
      <c r="H11" s="38" t="n">
        <v>5</v>
      </c>
      <c r="I11" s="38" t="n">
        <v>7</v>
      </c>
      <c r="J11" s="38" t="n">
        <v>6</v>
      </c>
      <c r="K11" s="38" t="n">
        <v>7</v>
      </c>
      <c r="L11" s="38" t="n">
        <v>5</v>
      </c>
      <c r="M11" s="38" t="n">
        <v>6</v>
      </c>
      <c r="N11" s="38" t="n">
        <v>8</v>
      </c>
      <c r="O11" s="38" t="n">
        <v>5</v>
      </c>
      <c r="P11" s="38" t="n">
        <v>7</v>
      </c>
      <c r="Q11" s="38" t="n">
        <v>4</v>
      </c>
      <c r="R11" s="38" t="n">
        <v>5</v>
      </c>
      <c r="S11" s="38" t="n">
        <v>6</v>
      </c>
      <c r="T11" s="38" t="n">
        <v>6</v>
      </c>
      <c r="U11" s="38" t="n">
        <v>7</v>
      </c>
      <c r="V11" s="39" t="n">
        <f aca="false">IF(COUNT(D11:U11)=18,SUM(D11:U11),IF(W11="","",W11))</f>
        <v>111</v>
      </c>
      <c r="W11" s="20"/>
      <c r="X11" s="38" t="n">
        <v>19</v>
      </c>
      <c r="Y11" s="15" t="n">
        <f aca="false">IF(X11="","",MIN(X11,Supuestos!$F$5))</f>
        <v>19</v>
      </c>
      <c r="Z11" s="39" t="n">
        <f aca="false">IF(OR(V11="",Y11=""),"",V11-Y11)</f>
        <v>92</v>
      </c>
      <c r="AA11" s="15" t="n">
        <f aca="false">IF(Z11="","",COUNTIF($Z$6:$Z$21,"&lt;"&amp;Z11)+1)</f>
        <v>15</v>
      </c>
      <c r="AB11" s="15" t="n">
        <f aca="false">IF(Z11="","",COUNTIF($Z$6:$Z$21,Z11))</f>
        <v>1</v>
      </c>
      <c r="AC11" s="40" t="n">
        <f aca="false">IF(Z11="","",ROUND(SUMPRODUCT((Supuestos!$A$5:$A$28&gt;=AA11)*(Supuestos!$A$5:$A$28&lt;AA11+AB11)*Supuestos!$B$5:$B$28)/AB11*Supuestos!$F$6,0))</f>
        <v>0</v>
      </c>
      <c r="AD11" s="15" t="n">
        <f aca="false">IF(0=1,0,IFERROR(INDEX(Jugadores!$E$5:$E$21,MATCH(A11,Jugadores!$A$5:$A$21,0)),0))</f>
        <v>1</v>
      </c>
      <c r="AE11" s="31" t="n">
        <f aca="false">IF(OR(AC11="",AD11=0),0,AC11)</f>
        <v>0</v>
      </c>
      <c r="AF11" s="15" t="n">
        <f aca="false">IF(COUNT(D11:U11)&lt;18,"",SUMPRODUCT(--((D11:U11)-$D$4:$U$4&lt;=-2)))</f>
        <v>0</v>
      </c>
      <c r="AG11" s="15" t="n">
        <f aca="false">IF(COUNT(D11:U11)&lt;18,"",SUMPRODUCT(--((D11:U11)-$D$4:$U$4=-1)))</f>
        <v>0</v>
      </c>
      <c r="AH11" s="15" t="n">
        <f aca="false">IF(COUNT(D11:U11)&lt;18,"",SUMPRODUCT(--((D11:U11)-$D$4:$U$4=0)))</f>
        <v>0</v>
      </c>
      <c r="AI11" s="15" t="n">
        <f aca="false">IF(COUNT(D11:U11)&lt;18,"",SUMPRODUCT(--((D11:U11)-$D$4:$U$4=1)))</f>
        <v>6</v>
      </c>
      <c r="AJ11" s="15" t="n">
        <f aca="false">IF(COUNT(D11:U11)&lt;18,"",SUMPRODUCT(--((D11:U11)-$D$4:$U$4&gt;=2)))</f>
        <v>12</v>
      </c>
    </row>
    <row r="12" customFormat="false" ht="15" hidden="false" customHeight="false" outlineLevel="0" collapsed="false">
      <c r="A12" s="36" t="s">
        <v>63</v>
      </c>
      <c r="B12" s="37" t="s">
        <v>64</v>
      </c>
      <c r="C12" s="38" t="s">
        <v>52</v>
      </c>
      <c r="D12" s="38" t="n">
        <v>5</v>
      </c>
      <c r="E12" s="38" t="n">
        <v>3</v>
      </c>
      <c r="F12" s="38" t="n">
        <v>6</v>
      </c>
      <c r="G12" s="38" t="n">
        <v>7</v>
      </c>
      <c r="H12" s="38" t="n">
        <v>5</v>
      </c>
      <c r="I12" s="38" t="n">
        <v>5</v>
      </c>
      <c r="J12" s="38" t="n">
        <v>4</v>
      </c>
      <c r="K12" s="38" t="n">
        <v>5</v>
      </c>
      <c r="L12" s="38" t="n">
        <v>4</v>
      </c>
      <c r="M12" s="38" t="n">
        <v>4</v>
      </c>
      <c r="N12" s="38" t="n">
        <v>7</v>
      </c>
      <c r="O12" s="38" t="n">
        <v>4</v>
      </c>
      <c r="P12" s="38" t="n">
        <v>5</v>
      </c>
      <c r="Q12" s="38" t="n">
        <v>4</v>
      </c>
      <c r="R12" s="38" t="n">
        <v>7</v>
      </c>
      <c r="S12" s="38" t="n">
        <v>6</v>
      </c>
      <c r="T12" s="38" t="n">
        <v>2</v>
      </c>
      <c r="U12" s="38" t="n">
        <v>4</v>
      </c>
      <c r="V12" s="39" t="n">
        <f aca="false">IF(COUNT(D12:U12)=18,SUM(D12:U12),IF(W12="","",W12))</f>
        <v>87</v>
      </c>
      <c r="W12" s="20"/>
      <c r="X12" s="38" t="n">
        <v>20</v>
      </c>
      <c r="Y12" s="15" t="n">
        <f aca="false">IF(X12="","",MIN(X12,Supuestos!$F$5))</f>
        <v>20</v>
      </c>
      <c r="Z12" s="39" t="n">
        <f aca="false">IF(OR(V12="",Y12=""),"",V12-Y12)</f>
        <v>67</v>
      </c>
      <c r="AA12" s="15" t="n">
        <f aca="false">IF(Z12="","",COUNTIF($Z$6:$Z$21,"&lt;"&amp;Z12)+1)</f>
        <v>1</v>
      </c>
      <c r="AB12" s="15" t="n">
        <f aca="false">IF(Z12="","",COUNTIF($Z$6:$Z$21,Z12))</f>
        <v>2</v>
      </c>
      <c r="AC12" s="40" t="n">
        <f aca="false">IF(Z12="","",ROUND(SUMPRODUCT((Supuestos!$A$5:$A$28&gt;=AA12)*(Supuestos!$A$5:$A$28&lt;AA12+AB12)*Supuestos!$B$5:$B$28)/AB12*Supuestos!$F$6,0))</f>
        <v>400</v>
      </c>
      <c r="AD12" s="15" t="n">
        <f aca="false">IF(0=1,0,IFERROR(INDEX(Jugadores!$E$5:$E$21,MATCH(A12,Jugadores!$A$5:$A$21,0)),0))</f>
        <v>1</v>
      </c>
      <c r="AE12" s="31" t="n">
        <f aca="false">IF(OR(AC12="",AD12=0),0,AC12)</f>
        <v>400</v>
      </c>
      <c r="AF12" s="15" t="n">
        <f aca="false">IF(COUNT(D12:U12)&lt;18,"",SUMPRODUCT(--((D12:U12)-$D$4:$U$4&lt;=-2)))</f>
        <v>0</v>
      </c>
      <c r="AG12" s="15" t="n">
        <f aca="false">IF(COUNT(D12:U12)&lt;18,"",SUMPRODUCT(--((D12:U12)-$D$4:$U$4=-1)))</f>
        <v>2</v>
      </c>
      <c r="AH12" s="15" t="n">
        <f aca="false">IF(COUNT(D12:U12)&lt;18,"",SUMPRODUCT(--((D12:U12)-$D$4:$U$4=0)))</f>
        <v>5</v>
      </c>
      <c r="AI12" s="15" t="n">
        <f aca="false">IF(COUNT(D12:U12)&lt;18,"",SUMPRODUCT(--((D12:U12)-$D$4:$U$4=1)))</f>
        <v>6</v>
      </c>
      <c r="AJ12" s="15" t="n">
        <f aca="false">IF(COUNT(D12:U12)&lt;18,"",SUMPRODUCT(--((D12:U12)-$D$4:$U$4&gt;=2)))</f>
        <v>5</v>
      </c>
    </row>
    <row r="13" customFormat="false" ht="15" hidden="false" customHeight="false" outlineLevel="0" collapsed="false">
      <c r="A13" s="36" t="s">
        <v>65</v>
      </c>
      <c r="B13" s="37" t="s">
        <v>66</v>
      </c>
      <c r="C13" s="38" t="s">
        <v>52</v>
      </c>
      <c r="D13" s="38" t="n">
        <v>5</v>
      </c>
      <c r="E13" s="38" t="n">
        <v>4</v>
      </c>
      <c r="F13" s="38" t="n">
        <v>4</v>
      </c>
      <c r="G13" s="38" t="n">
        <v>7</v>
      </c>
      <c r="H13" s="38" t="n">
        <v>6</v>
      </c>
      <c r="I13" s="38" t="n">
        <v>5</v>
      </c>
      <c r="J13" s="38" t="n">
        <v>4</v>
      </c>
      <c r="K13" s="38" t="n">
        <v>6</v>
      </c>
      <c r="L13" s="38" t="n">
        <v>4</v>
      </c>
      <c r="M13" s="38" t="n">
        <v>6</v>
      </c>
      <c r="N13" s="38" t="n">
        <v>6</v>
      </c>
      <c r="O13" s="38" t="n">
        <v>6</v>
      </c>
      <c r="P13" s="38" t="n">
        <v>6</v>
      </c>
      <c r="Q13" s="38" t="n">
        <v>3</v>
      </c>
      <c r="R13" s="38" t="n">
        <v>6</v>
      </c>
      <c r="S13" s="38" t="n">
        <v>4</v>
      </c>
      <c r="T13" s="38" t="n">
        <v>3</v>
      </c>
      <c r="U13" s="38" t="n">
        <v>8</v>
      </c>
      <c r="V13" s="39" t="n">
        <f aca="false">IF(COUNT(D13:U13)=18,SUM(D13:U13),IF(W13="","",W13))</f>
        <v>93</v>
      </c>
      <c r="W13" s="20"/>
      <c r="X13" s="38" t="n">
        <v>22</v>
      </c>
      <c r="Y13" s="15" t="n">
        <f aca="false">IF(X13="","",MIN(X13,Supuestos!$F$5))</f>
        <v>22</v>
      </c>
      <c r="Z13" s="39" t="n">
        <f aca="false">IF(OR(V13="",Y13=""),"",V13-Y13)</f>
        <v>71</v>
      </c>
      <c r="AA13" s="15" t="n">
        <f aca="false">IF(Z13="","",COUNTIF($Z$6:$Z$21,"&lt;"&amp;Z13)+1)</f>
        <v>5</v>
      </c>
      <c r="AB13" s="15" t="n">
        <f aca="false">IF(Z13="","",COUNTIF($Z$6:$Z$21,Z13))</f>
        <v>1</v>
      </c>
      <c r="AC13" s="40" t="n">
        <f aca="false">IF(Z13="","",ROUND(SUMPRODUCT((Supuestos!$A$5:$A$28&gt;=AA13)*(Supuestos!$A$5:$A$28&lt;AA13+AB13)*Supuestos!$B$5:$B$28)/AB13*Supuestos!$F$6,0))</f>
        <v>120</v>
      </c>
      <c r="AD13" s="15" t="n">
        <f aca="false">IF(0=1,0,IFERROR(INDEX(Jugadores!$E$5:$E$21,MATCH(A13,Jugadores!$A$5:$A$21,0)),0))</f>
        <v>1</v>
      </c>
      <c r="AE13" s="31" t="n">
        <f aca="false">IF(OR(AC13="",AD13=0),0,AC13)</f>
        <v>120</v>
      </c>
      <c r="AF13" s="15" t="n">
        <f aca="false">IF(COUNT(D13:U13)&lt;18,"",SUMPRODUCT(--((D13:U13)-$D$4:$U$4&lt;=-2)))</f>
        <v>0</v>
      </c>
      <c r="AG13" s="15" t="n">
        <f aca="false">IF(COUNT(D13:U13)&lt;18,"",SUMPRODUCT(--((D13:U13)-$D$4:$U$4=-1)))</f>
        <v>0</v>
      </c>
      <c r="AH13" s="15" t="n">
        <f aca="false">IF(COUNT(D13:U13)&lt;18,"",SUMPRODUCT(--((D13:U13)-$D$4:$U$4=0)))</f>
        <v>6</v>
      </c>
      <c r="AI13" s="15" t="n">
        <f aca="false">IF(COUNT(D13:U13)&lt;18,"",SUMPRODUCT(--((D13:U13)-$D$4:$U$4=1)))</f>
        <v>4</v>
      </c>
      <c r="AJ13" s="15" t="n">
        <f aca="false">IF(COUNT(D13:U13)&lt;18,"",SUMPRODUCT(--((D13:U13)-$D$4:$U$4&gt;=2)))</f>
        <v>8</v>
      </c>
    </row>
    <row r="14" customFormat="false" ht="15" hidden="false" customHeight="false" outlineLevel="0" collapsed="false">
      <c r="A14" s="36" t="s">
        <v>67</v>
      </c>
      <c r="B14" s="37" t="s">
        <v>68</v>
      </c>
      <c r="C14" s="38" t="s">
        <v>69</v>
      </c>
      <c r="D14" s="38" t="n">
        <v>5</v>
      </c>
      <c r="E14" s="38" t="n">
        <v>4</v>
      </c>
      <c r="F14" s="38" t="n">
        <v>5</v>
      </c>
      <c r="G14" s="38" t="n">
        <v>6</v>
      </c>
      <c r="H14" s="38" t="n">
        <v>4</v>
      </c>
      <c r="I14" s="38" t="n">
        <v>6</v>
      </c>
      <c r="J14" s="38" t="n">
        <v>3</v>
      </c>
      <c r="K14" s="38" t="n">
        <v>5</v>
      </c>
      <c r="L14" s="38" t="n">
        <v>5</v>
      </c>
      <c r="M14" s="38" t="n">
        <v>6</v>
      </c>
      <c r="N14" s="38" t="n">
        <v>6</v>
      </c>
      <c r="O14" s="38" t="n">
        <v>6</v>
      </c>
      <c r="P14" s="38" t="n">
        <v>4</v>
      </c>
      <c r="Q14" s="38" t="n">
        <v>3</v>
      </c>
      <c r="R14" s="38" t="n">
        <v>3</v>
      </c>
      <c r="S14" s="38" t="n">
        <v>3</v>
      </c>
      <c r="T14" s="38" t="n">
        <v>3</v>
      </c>
      <c r="U14" s="38" t="n">
        <v>5</v>
      </c>
      <c r="V14" s="39" t="n">
        <f aca="false">IF(COUNT(D14:U14)=18,SUM(D14:U14),IF(W14="","",W14))</f>
        <v>82</v>
      </c>
      <c r="W14" s="20"/>
      <c r="X14" s="38" t="n">
        <v>10</v>
      </c>
      <c r="Y14" s="15" t="n">
        <f aca="false">IF(X14="","",MIN(X14,Supuestos!$F$5))</f>
        <v>10</v>
      </c>
      <c r="Z14" s="39" t="n">
        <f aca="false">IF(OR(V14="",Y14=""),"",V14-Y14)</f>
        <v>72</v>
      </c>
      <c r="AA14" s="15" t="n">
        <f aca="false">IF(Z14="","",COUNTIF($Z$6:$Z$21,"&lt;"&amp;Z14)+1)</f>
        <v>6</v>
      </c>
      <c r="AB14" s="15" t="n">
        <f aca="false">IF(Z14="","",COUNTIF($Z$6:$Z$21,Z14))</f>
        <v>2</v>
      </c>
      <c r="AC14" s="40" t="n">
        <f aca="false">IF(Z14="","",ROUND(SUMPRODUCT((Supuestos!$A$5:$A$28&gt;=AA14)*(Supuestos!$A$5:$A$28&lt;AA14+AB14)*Supuestos!$B$5:$B$28)/AB14*Supuestos!$F$6,0))</f>
        <v>95</v>
      </c>
      <c r="AD14" s="15" t="n">
        <f aca="false">IF(0=1,0,IFERROR(INDEX(Jugadores!$E$5:$E$21,MATCH(A14,Jugadores!$A$5:$A$21,0)),0))</f>
        <v>1</v>
      </c>
      <c r="AE14" s="31" t="n">
        <f aca="false">IF(OR(AC14="",AD14=0),0,AC14)</f>
        <v>95</v>
      </c>
      <c r="AF14" s="15" t="n">
        <f aca="false">IF(COUNT(D14:U14)&lt;18,"",SUMPRODUCT(--((D14:U14)-$D$4:$U$4&lt;=-2)))</f>
        <v>0</v>
      </c>
      <c r="AG14" s="15" t="n">
        <f aca="false">IF(COUNT(D14:U14)&lt;18,"",SUMPRODUCT(--((D14:U14)-$D$4:$U$4=-1)))</f>
        <v>2</v>
      </c>
      <c r="AH14" s="15" t="n">
        <f aca="false">IF(COUNT(D14:U14)&lt;18,"",SUMPRODUCT(--((D14:U14)-$D$4:$U$4=0)))</f>
        <v>7</v>
      </c>
      <c r="AI14" s="15" t="n">
        <f aca="false">IF(COUNT(D14:U14)&lt;18,"",SUMPRODUCT(--((D14:U14)-$D$4:$U$4=1)))</f>
        <v>6</v>
      </c>
      <c r="AJ14" s="15" t="n">
        <f aca="false">IF(COUNT(D14:U14)&lt;18,"",SUMPRODUCT(--((D14:U14)-$D$4:$U$4&gt;=2)))</f>
        <v>3</v>
      </c>
    </row>
    <row r="15" customFormat="false" ht="15" hidden="false" customHeight="false" outlineLevel="0" collapsed="false">
      <c r="A15" s="36" t="s">
        <v>70</v>
      </c>
      <c r="B15" s="37" t="s">
        <v>71</v>
      </c>
      <c r="C15" s="38" t="s">
        <v>69</v>
      </c>
      <c r="D15" s="38" t="n">
        <v>6</v>
      </c>
      <c r="E15" s="38" t="n">
        <v>5</v>
      </c>
      <c r="F15" s="38" t="n">
        <v>5</v>
      </c>
      <c r="G15" s="38" t="n">
        <v>7</v>
      </c>
      <c r="H15" s="38" t="n">
        <v>4</v>
      </c>
      <c r="I15" s="38" t="n">
        <v>6</v>
      </c>
      <c r="J15" s="38" t="n">
        <v>3</v>
      </c>
      <c r="K15" s="38" t="n">
        <v>3</v>
      </c>
      <c r="L15" s="38" t="n">
        <v>5</v>
      </c>
      <c r="M15" s="38" t="n">
        <v>5</v>
      </c>
      <c r="N15" s="38" t="n">
        <v>6</v>
      </c>
      <c r="O15" s="38" t="n">
        <v>5</v>
      </c>
      <c r="P15" s="38" t="n">
        <v>4</v>
      </c>
      <c r="Q15" s="38" t="n">
        <v>2</v>
      </c>
      <c r="R15" s="38" t="n">
        <v>6</v>
      </c>
      <c r="S15" s="38" t="n">
        <v>4</v>
      </c>
      <c r="T15" s="38" t="n">
        <v>5</v>
      </c>
      <c r="U15" s="38" t="n">
        <v>5</v>
      </c>
      <c r="V15" s="39" t="n">
        <f aca="false">IF(COUNT(D15:U15)=18,SUM(D15:U15),IF(W15="","",W15))</f>
        <v>86</v>
      </c>
      <c r="W15" s="20"/>
      <c r="X15" s="38" t="n">
        <v>13</v>
      </c>
      <c r="Y15" s="15" t="n">
        <f aca="false">IF(X15="","",MIN(X15,Supuestos!$F$5))</f>
        <v>13</v>
      </c>
      <c r="Z15" s="39" t="n">
        <f aca="false">IF(OR(V15="",Y15=""),"",V15-Y15)</f>
        <v>73</v>
      </c>
      <c r="AA15" s="15" t="n">
        <f aca="false">IF(Z15="","",COUNTIF($Z$6:$Z$21,"&lt;"&amp;Z15)+1)</f>
        <v>8</v>
      </c>
      <c r="AB15" s="15" t="n">
        <f aca="false">IF(Z15="","",COUNTIF($Z$6:$Z$21,Z15))</f>
        <v>1</v>
      </c>
      <c r="AC15" s="40" t="n">
        <f aca="false">IF(Z15="","",ROUND(SUMPRODUCT((Supuestos!$A$5:$A$28&gt;=AA15)*(Supuestos!$A$5:$A$28&lt;AA15+AB15)*Supuestos!$B$5:$B$28)/AB15*Supuestos!$F$6,0))</f>
        <v>80</v>
      </c>
      <c r="AD15" s="15" t="n">
        <f aca="false">IF(0=1,0,IFERROR(INDEX(Jugadores!$E$5:$E$21,MATCH(A15,Jugadores!$A$5:$A$21,0)),0))</f>
        <v>1</v>
      </c>
      <c r="AE15" s="31" t="n">
        <f aca="false">IF(OR(AC15="",AD15=0),0,AC15)</f>
        <v>80</v>
      </c>
      <c r="AF15" s="15" t="n">
        <f aca="false">IF(COUNT(D15:U15)&lt;18,"",SUMPRODUCT(--((D15:U15)-$D$4:$U$4&lt;=-2)))</f>
        <v>0</v>
      </c>
      <c r="AG15" s="15" t="n">
        <f aca="false">IF(COUNT(D15:U15)&lt;18,"",SUMPRODUCT(--((D15:U15)-$D$4:$U$4=-1)))</f>
        <v>2</v>
      </c>
      <c r="AH15" s="15" t="n">
        <f aca="false">IF(COUNT(D15:U15)&lt;18,"",SUMPRODUCT(--((D15:U15)-$D$4:$U$4=0)))</f>
        <v>5</v>
      </c>
      <c r="AI15" s="15" t="n">
        <f aca="false">IF(COUNT(D15:U15)&lt;18,"",SUMPRODUCT(--((D15:U15)-$D$4:$U$4=1)))</f>
        <v>6</v>
      </c>
      <c r="AJ15" s="15" t="n">
        <f aca="false">IF(COUNT(D15:U15)&lt;18,"",SUMPRODUCT(--((D15:U15)-$D$4:$U$4&gt;=2)))</f>
        <v>5</v>
      </c>
    </row>
    <row r="16" customFormat="false" ht="15" hidden="false" customHeight="false" outlineLevel="0" collapsed="false">
      <c r="A16" s="36" t="s">
        <v>72</v>
      </c>
      <c r="B16" s="37" t="s">
        <v>73</v>
      </c>
      <c r="C16" s="38" t="s">
        <v>69</v>
      </c>
      <c r="D16" s="38" t="n">
        <v>5</v>
      </c>
      <c r="E16" s="38" t="n">
        <v>4</v>
      </c>
      <c r="F16" s="38" t="n">
        <v>7</v>
      </c>
      <c r="G16" s="38" t="n">
        <v>7</v>
      </c>
      <c r="H16" s="38" t="n">
        <v>5</v>
      </c>
      <c r="I16" s="38" t="n">
        <v>5</v>
      </c>
      <c r="J16" s="38" t="n">
        <v>4</v>
      </c>
      <c r="K16" s="38" t="n">
        <v>5</v>
      </c>
      <c r="L16" s="38" t="n">
        <v>5</v>
      </c>
      <c r="M16" s="38" t="n">
        <v>7</v>
      </c>
      <c r="N16" s="38" t="n">
        <v>6</v>
      </c>
      <c r="O16" s="38" t="n">
        <v>5</v>
      </c>
      <c r="P16" s="38" t="n">
        <v>6</v>
      </c>
      <c r="Q16" s="38" t="n">
        <v>3</v>
      </c>
      <c r="R16" s="38" t="n">
        <v>5</v>
      </c>
      <c r="S16" s="38" t="n">
        <v>5</v>
      </c>
      <c r="T16" s="38" t="n">
        <v>5</v>
      </c>
      <c r="U16" s="38" t="n">
        <v>7</v>
      </c>
      <c r="V16" s="39" t="n">
        <f aca="false">IF(COUNT(D16:U16)=18,SUM(D16:U16),IF(W16="","",W16))</f>
        <v>96</v>
      </c>
      <c r="W16" s="20"/>
      <c r="X16" s="38" t="n">
        <v>18</v>
      </c>
      <c r="Y16" s="15" t="n">
        <f aca="false">IF(X16="","",MIN(X16,Supuestos!$F$5))</f>
        <v>18</v>
      </c>
      <c r="Z16" s="39" t="n">
        <f aca="false">IF(OR(V16="",Y16=""),"",V16-Y16)</f>
        <v>78</v>
      </c>
      <c r="AA16" s="15" t="n">
        <f aca="false">IF(Z16="","",COUNTIF($Z$6:$Z$21,"&lt;"&amp;Z16)+1)</f>
        <v>11</v>
      </c>
      <c r="AB16" s="15" t="n">
        <f aca="false">IF(Z16="","",COUNTIF($Z$6:$Z$21,Z16))</f>
        <v>2</v>
      </c>
      <c r="AC16" s="40" t="n">
        <f aca="false">IF(Z16="","",ROUND(SUMPRODUCT((Supuestos!$A$5:$A$28&gt;=AA16)*(Supuestos!$A$5:$A$28&lt;AA16+AB16)*Supuestos!$B$5:$B$28)/AB16*Supuestos!$F$6,0))</f>
        <v>20</v>
      </c>
      <c r="AD16" s="15" t="n">
        <f aca="false">IF(0=1,0,IFERROR(INDEX(Jugadores!$E$5:$E$21,MATCH(A16,Jugadores!$A$5:$A$21,0)),0))</f>
        <v>1</v>
      </c>
      <c r="AE16" s="31" t="n">
        <f aca="false">IF(OR(AC16="",AD16=0),0,AC16)</f>
        <v>20</v>
      </c>
      <c r="AF16" s="15" t="n">
        <f aca="false">IF(COUNT(D16:U16)&lt;18,"",SUMPRODUCT(--((D16:U16)-$D$4:$U$4&lt;=-2)))</f>
        <v>0</v>
      </c>
      <c r="AG16" s="15" t="n">
        <f aca="false">IF(COUNT(D16:U16)&lt;18,"",SUMPRODUCT(--((D16:U16)-$D$4:$U$4=-1)))</f>
        <v>0</v>
      </c>
      <c r="AH16" s="15" t="n">
        <f aca="false">IF(COUNT(D16:U16)&lt;18,"",SUMPRODUCT(--((D16:U16)-$D$4:$U$4=0)))</f>
        <v>2</v>
      </c>
      <c r="AI16" s="15" t="n">
        <f aca="false">IF(COUNT(D16:U16)&lt;18,"",SUMPRODUCT(--((D16:U16)-$D$4:$U$4=1)))</f>
        <v>10</v>
      </c>
      <c r="AJ16" s="15" t="n">
        <f aca="false">IF(COUNT(D16:U16)&lt;18,"",SUMPRODUCT(--((D16:U16)-$D$4:$U$4&gt;=2)))</f>
        <v>6</v>
      </c>
    </row>
    <row r="17" customFormat="false" ht="15" hidden="false" customHeight="false" outlineLevel="0" collapsed="false">
      <c r="A17" s="36" t="s">
        <v>74</v>
      </c>
      <c r="B17" s="37" t="s">
        <v>75</v>
      </c>
      <c r="C17" s="38" t="s">
        <v>69</v>
      </c>
      <c r="D17" s="38" t="n">
        <v>7</v>
      </c>
      <c r="E17" s="38" t="n">
        <v>3</v>
      </c>
      <c r="F17" s="38" t="n">
        <v>4</v>
      </c>
      <c r="G17" s="38" t="n">
        <v>5</v>
      </c>
      <c r="H17" s="38" t="n">
        <v>4</v>
      </c>
      <c r="I17" s="38" t="n">
        <v>6</v>
      </c>
      <c r="J17" s="38" t="n">
        <v>3</v>
      </c>
      <c r="K17" s="38" t="n">
        <v>5</v>
      </c>
      <c r="L17" s="38" t="n">
        <v>6</v>
      </c>
      <c r="M17" s="38" t="n">
        <v>5</v>
      </c>
      <c r="N17" s="38" t="n">
        <v>6</v>
      </c>
      <c r="O17" s="38" t="n">
        <v>4</v>
      </c>
      <c r="P17" s="38" t="n">
        <v>4</v>
      </c>
      <c r="Q17" s="38" t="n">
        <v>3</v>
      </c>
      <c r="R17" s="38" t="n">
        <v>6</v>
      </c>
      <c r="S17" s="38" t="n">
        <v>5</v>
      </c>
      <c r="T17" s="38" t="n">
        <v>3</v>
      </c>
      <c r="U17" s="38" t="n">
        <v>5</v>
      </c>
      <c r="V17" s="39" t="n">
        <f aca="false">IF(COUNT(D17:U17)=18,SUM(D17:U17),IF(W17="","",W17))</f>
        <v>84</v>
      </c>
      <c r="W17" s="20"/>
      <c r="X17" s="38" t="n">
        <v>17</v>
      </c>
      <c r="Y17" s="15" t="n">
        <f aca="false">IF(X17="","",MIN(X17,Supuestos!$F$5))</f>
        <v>17</v>
      </c>
      <c r="Z17" s="39" t="n">
        <f aca="false">IF(OR(V17="",Y17=""),"",V17-Y17)</f>
        <v>67</v>
      </c>
      <c r="AA17" s="15" t="n">
        <f aca="false">IF(Z17="","",COUNTIF($Z$6:$Z$21,"&lt;"&amp;Z17)+1)</f>
        <v>1</v>
      </c>
      <c r="AB17" s="15" t="n">
        <f aca="false">IF(Z17="","",COUNTIF($Z$6:$Z$21,Z17))</f>
        <v>2</v>
      </c>
      <c r="AC17" s="40" t="n">
        <f aca="false">IF(Z17="","",ROUND(SUMPRODUCT((Supuestos!$A$5:$A$28&gt;=AA17)*(Supuestos!$A$5:$A$28&lt;AA17+AB17)*Supuestos!$B$5:$B$28)/AB17*Supuestos!$F$6,0))</f>
        <v>400</v>
      </c>
      <c r="AD17" s="15" t="n">
        <f aca="false">IF(0=1,0,IFERROR(INDEX(Jugadores!$E$5:$E$21,MATCH(A17,Jugadores!$A$5:$A$21,0)),0))</f>
        <v>1</v>
      </c>
      <c r="AE17" s="31" t="n">
        <f aca="false">IF(OR(AC17="",AD17=0),0,AC17)</f>
        <v>400</v>
      </c>
      <c r="AF17" s="15" t="n">
        <f aca="false">IF(COUNT(D17:U17)&lt;18,"",SUMPRODUCT(--((D17:U17)-$D$4:$U$4&lt;=-2)))</f>
        <v>0</v>
      </c>
      <c r="AG17" s="15" t="n">
        <f aca="false">IF(COUNT(D17:U17)&lt;18,"",SUMPRODUCT(--((D17:U17)-$D$4:$U$4=-1)))</f>
        <v>0</v>
      </c>
      <c r="AH17" s="15" t="n">
        <f aca="false">IF(COUNT(D17:U17)&lt;18,"",SUMPRODUCT(--((D17:U17)-$D$4:$U$4=0)))</f>
        <v>10</v>
      </c>
      <c r="AI17" s="15" t="n">
        <f aca="false">IF(COUNT(D17:U17)&lt;18,"",SUMPRODUCT(--((D17:U17)-$D$4:$U$4=1)))</f>
        <v>4</v>
      </c>
      <c r="AJ17" s="15" t="n">
        <f aca="false">IF(COUNT(D17:U17)&lt;18,"",SUMPRODUCT(--((D17:U17)-$D$4:$U$4&gt;=2)))</f>
        <v>4</v>
      </c>
    </row>
    <row r="18" customFormat="false" ht="15" hidden="false" customHeight="false" outlineLevel="0" collapsed="false">
      <c r="A18" s="36" t="s">
        <v>76</v>
      </c>
      <c r="B18" s="37" t="s">
        <v>77</v>
      </c>
      <c r="C18" s="38" t="s">
        <v>69</v>
      </c>
      <c r="D18" s="38" t="n">
        <v>6</v>
      </c>
      <c r="E18" s="38" t="n">
        <v>3</v>
      </c>
      <c r="F18" s="38" t="n">
        <v>5</v>
      </c>
      <c r="G18" s="38" t="n">
        <v>7</v>
      </c>
      <c r="H18" s="38" t="n">
        <v>5</v>
      </c>
      <c r="I18" s="38" t="n">
        <v>5</v>
      </c>
      <c r="J18" s="38" t="n">
        <v>4</v>
      </c>
      <c r="K18" s="38" t="n">
        <v>5</v>
      </c>
      <c r="L18" s="38" t="n">
        <v>4</v>
      </c>
      <c r="M18" s="38" t="n">
        <v>4</v>
      </c>
      <c r="N18" s="38" t="n">
        <v>7</v>
      </c>
      <c r="O18" s="38" t="n">
        <v>3</v>
      </c>
      <c r="P18" s="38" t="n">
        <v>4</v>
      </c>
      <c r="Q18" s="38" t="n">
        <v>5</v>
      </c>
      <c r="R18" s="38" t="n">
        <v>6</v>
      </c>
      <c r="S18" s="38" t="n">
        <v>4</v>
      </c>
      <c r="T18" s="38" t="n">
        <v>3</v>
      </c>
      <c r="U18" s="38" t="n">
        <v>6</v>
      </c>
      <c r="V18" s="39" t="n">
        <f aca="false">IF(COUNT(D18:U18)=18,SUM(D18:U18),IF(W18="","",W18))</f>
        <v>86</v>
      </c>
      <c r="W18" s="20"/>
      <c r="X18" s="38" t="n">
        <v>17</v>
      </c>
      <c r="Y18" s="15" t="n">
        <f aca="false">IF(X18="","",MIN(X18,Supuestos!$F$5))</f>
        <v>17</v>
      </c>
      <c r="Z18" s="39" t="n">
        <f aca="false">IF(OR(V18="",Y18=""),"",V18-Y18)</f>
        <v>69</v>
      </c>
      <c r="AA18" s="15" t="n">
        <f aca="false">IF(Z18="","",COUNTIF($Z$6:$Z$21,"&lt;"&amp;Z18)+1)</f>
        <v>3</v>
      </c>
      <c r="AB18" s="15" t="n">
        <f aca="false">IF(Z18="","",COUNTIF($Z$6:$Z$21,Z18))</f>
        <v>2</v>
      </c>
      <c r="AC18" s="40" t="n">
        <f aca="false">IF(Z18="","",ROUND(SUMPRODUCT((Supuestos!$A$5:$A$28&gt;=AA18)*(Supuestos!$A$5:$A$28&lt;AA18+AB18)*Supuestos!$B$5:$B$28)/AB18*Supuestos!$F$6,0))</f>
        <v>175</v>
      </c>
      <c r="AD18" s="15" t="n">
        <f aca="false">IF(0=1,0,IFERROR(INDEX(Jugadores!$E$5:$E$21,MATCH(A18,Jugadores!$A$5:$A$21,0)),0))</f>
        <v>1</v>
      </c>
      <c r="AE18" s="31" t="n">
        <f aca="false">IF(OR(AC18="",AD18=0),0,AC18)</f>
        <v>175</v>
      </c>
      <c r="AF18" s="15" t="n">
        <f aca="false">IF(COUNT(D18:U18)&lt;18,"",SUMPRODUCT(--((D18:U18)-$D$4:$U$4&lt;=-2)))</f>
        <v>0</v>
      </c>
      <c r="AG18" s="15" t="n">
        <f aca="false">IF(COUNT(D18:U18)&lt;18,"",SUMPRODUCT(--((D18:U18)-$D$4:$U$4=-1)))</f>
        <v>1</v>
      </c>
      <c r="AH18" s="15" t="n">
        <f aca="false">IF(COUNT(D18:U18)&lt;18,"",SUMPRODUCT(--((D18:U18)-$D$4:$U$4=0)))</f>
        <v>6</v>
      </c>
      <c r="AI18" s="15" t="n">
        <f aca="false">IF(COUNT(D18:U18)&lt;18,"",SUMPRODUCT(--((D18:U18)-$D$4:$U$4=1)))</f>
        <v>7</v>
      </c>
      <c r="AJ18" s="15" t="n">
        <f aca="false">IF(COUNT(D18:U18)&lt;18,"",SUMPRODUCT(--((D18:U18)-$D$4:$U$4&gt;=2)))</f>
        <v>4</v>
      </c>
    </row>
    <row r="19" customFormat="false" ht="15" hidden="false" customHeight="false" outlineLevel="0" collapsed="false">
      <c r="A19" s="36" t="s">
        <v>78</v>
      </c>
      <c r="B19" s="37" t="s">
        <v>79</v>
      </c>
      <c r="C19" s="38" t="s">
        <v>69</v>
      </c>
      <c r="D19" s="38" t="n">
        <v>5</v>
      </c>
      <c r="E19" s="38" t="n">
        <v>5</v>
      </c>
      <c r="F19" s="38" t="n">
        <v>4</v>
      </c>
      <c r="G19" s="38" t="n">
        <v>5</v>
      </c>
      <c r="H19" s="38" t="n">
        <v>5</v>
      </c>
      <c r="I19" s="38" t="n">
        <v>5</v>
      </c>
      <c r="J19" s="38" t="n">
        <v>6</v>
      </c>
      <c r="K19" s="38" t="n">
        <v>6</v>
      </c>
      <c r="L19" s="38" t="n">
        <v>4</v>
      </c>
      <c r="M19" s="38" t="n">
        <v>5</v>
      </c>
      <c r="N19" s="38" t="n">
        <v>4</v>
      </c>
      <c r="O19" s="38" t="n">
        <v>5</v>
      </c>
      <c r="P19" s="38" t="n">
        <v>4</v>
      </c>
      <c r="Q19" s="38" t="n">
        <v>5</v>
      </c>
      <c r="R19" s="38" t="n">
        <v>5</v>
      </c>
      <c r="S19" s="38" t="n">
        <v>4</v>
      </c>
      <c r="T19" s="38" t="n">
        <v>3</v>
      </c>
      <c r="U19" s="38" t="n">
        <v>6</v>
      </c>
      <c r="V19" s="39" t="n">
        <f aca="false">IF(COUNT(D19:U19)=18,SUM(D19:U19),IF(W19="","",W19))</f>
        <v>86</v>
      </c>
      <c r="W19" s="20"/>
      <c r="X19" s="38" t="n">
        <v>17</v>
      </c>
      <c r="Y19" s="15" t="n">
        <f aca="false">IF(X19="","",MIN(X19,Supuestos!$F$5))</f>
        <v>17</v>
      </c>
      <c r="Z19" s="39" t="n">
        <f aca="false">IF(OR(V19="",Y19=""),"",V19-Y19)</f>
        <v>69</v>
      </c>
      <c r="AA19" s="15" t="n">
        <f aca="false">IF(Z19="","",COUNTIF($Z$6:$Z$21,"&lt;"&amp;Z19)+1)</f>
        <v>3</v>
      </c>
      <c r="AB19" s="15" t="n">
        <f aca="false">IF(Z19="","",COUNTIF($Z$6:$Z$21,Z19))</f>
        <v>2</v>
      </c>
      <c r="AC19" s="40" t="n">
        <f aca="false">IF(Z19="","",ROUND(SUMPRODUCT((Supuestos!$A$5:$A$28&gt;=AA19)*(Supuestos!$A$5:$A$28&lt;AA19+AB19)*Supuestos!$B$5:$B$28)/AB19*Supuestos!$F$6,0))</f>
        <v>175</v>
      </c>
      <c r="AD19" s="15" t="n">
        <f aca="false">IF(0=1,0,IFERROR(INDEX(Jugadores!$E$5:$E$21,MATCH(A19,Jugadores!$A$5:$A$21,0)),0))</f>
        <v>1</v>
      </c>
      <c r="AE19" s="31" t="n">
        <f aca="false">IF(OR(AC19="",AD19=0),0,AC19)</f>
        <v>175</v>
      </c>
      <c r="AF19" s="15" t="n">
        <f aca="false">IF(COUNT(D19:U19)&lt;18,"",SUMPRODUCT(--((D19:U19)-$D$4:$U$4&lt;=-2)))</f>
        <v>0</v>
      </c>
      <c r="AG19" s="15" t="n">
        <f aca="false">IF(COUNT(D19:U19)&lt;18,"",SUMPRODUCT(--((D19:U19)-$D$4:$U$4=-1)))</f>
        <v>1</v>
      </c>
      <c r="AH19" s="15" t="n">
        <f aca="false">IF(COUNT(D19:U19)&lt;18,"",SUMPRODUCT(--((D19:U19)-$D$4:$U$4=0)))</f>
        <v>7</v>
      </c>
      <c r="AI19" s="15" t="n">
        <f aca="false">IF(COUNT(D19:U19)&lt;18,"",SUMPRODUCT(--((D19:U19)-$D$4:$U$4=1)))</f>
        <v>6</v>
      </c>
      <c r="AJ19" s="15" t="n">
        <f aca="false">IF(COUNT(D19:U19)&lt;18,"",SUMPRODUCT(--((D19:U19)-$D$4:$U$4&gt;=2)))</f>
        <v>4</v>
      </c>
    </row>
    <row r="20" customFormat="false" ht="15" hidden="false" customHeight="false" outlineLevel="0" collapsed="false">
      <c r="A20" s="36" t="s">
        <v>80</v>
      </c>
      <c r="B20" s="37" t="s">
        <v>81</v>
      </c>
      <c r="C20" s="38" t="s">
        <v>69</v>
      </c>
      <c r="D20" s="38" t="n">
        <v>4</v>
      </c>
      <c r="E20" s="38" t="n">
        <v>4</v>
      </c>
      <c r="F20" s="38" t="n">
        <v>7</v>
      </c>
      <c r="G20" s="38" t="n">
        <v>5</v>
      </c>
      <c r="H20" s="38" t="n">
        <v>6</v>
      </c>
      <c r="I20" s="38" t="n">
        <v>7</v>
      </c>
      <c r="J20" s="38" t="n">
        <v>5</v>
      </c>
      <c r="K20" s="38" t="n">
        <v>3</v>
      </c>
      <c r="L20" s="38" t="n">
        <v>4</v>
      </c>
      <c r="M20" s="38" t="n">
        <v>4</v>
      </c>
      <c r="N20" s="38" t="n">
        <v>8</v>
      </c>
      <c r="O20" s="38" t="n">
        <v>6</v>
      </c>
      <c r="P20" s="38" t="n">
        <v>7</v>
      </c>
      <c r="Q20" s="38" t="n">
        <v>5</v>
      </c>
      <c r="R20" s="38" t="n">
        <v>6</v>
      </c>
      <c r="S20" s="38" t="n">
        <v>5</v>
      </c>
      <c r="T20" s="38" t="n">
        <v>4</v>
      </c>
      <c r="U20" s="38" t="n">
        <v>5</v>
      </c>
      <c r="V20" s="39" t="n">
        <f aca="false">IF(COUNT(D20:U20)=18,SUM(D20:U20),IF(W20="","",W20))</f>
        <v>95</v>
      </c>
      <c r="W20" s="20"/>
      <c r="X20" s="38" t="n">
        <v>20</v>
      </c>
      <c r="Y20" s="15" t="n">
        <f aca="false">IF(X20="","",MIN(X20,Supuestos!$F$5))</f>
        <v>20</v>
      </c>
      <c r="Z20" s="39" t="n">
        <f aca="false">IF(OR(V20="",Y20=""),"",V20-Y20)</f>
        <v>75</v>
      </c>
      <c r="AA20" s="15" t="n">
        <f aca="false">IF(Z20="","",COUNTIF($Z$6:$Z$21,"&lt;"&amp;Z20)+1)</f>
        <v>9</v>
      </c>
      <c r="AB20" s="15" t="n">
        <f aca="false">IF(Z20="","",COUNTIF($Z$6:$Z$21,Z20))</f>
        <v>2</v>
      </c>
      <c r="AC20" s="40" t="n">
        <f aca="false">IF(Z20="","",ROUND(SUMPRODUCT((Supuestos!$A$5:$A$28&gt;=AA20)*(Supuestos!$A$5:$A$28&lt;AA20+AB20)*Supuestos!$B$5:$B$28)/AB20*Supuestos!$F$6,0))</f>
        <v>73</v>
      </c>
      <c r="AD20" s="15" t="n">
        <f aca="false">IF(0=1,0,IFERROR(INDEX(Jugadores!$E$5:$E$21,MATCH(A20,Jugadores!$A$5:$A$21,0)),0))</f>
        <v>1</v>
      </c>
      <c r="AE20" s="31" t="n">
        <f aca="false">IF(OR(AC20="",AD20=0),0,AC20)</f>
        <v>73</v>
      </c>
      <c r="AF20" s="15" t="n">
        <f aca="false">IF(COUNT(D20:U20)&lt;18,"",SUMPRODUCT(--((D20:U20)-$D$4:$U$4&lt;=-2)))</f>
        <v>0</v>
      </c>
      <c r="AG20" s="15" t="n">
        <f aca="false">IF(COUNT(D20:U20)&lt;18,"",SUMPRODUCT(--((D20:U20)-$D$4:$U$4=-1)))</f>
        <v>2</v>
      </c>
      <c r="AH20" s="15" t="n">
        <f aca="false">IF(COUNT(D20:U20)&lt;18,"",SUMPRODUCT(--((D20:U20)-$D$4:$U$4=0)))</f>
        <v>4</v>
      </c>
      <c r="AI20" s="15" t="n">
        <f aca="false">IF(COUNT(D20:U20)&lt;18,"",SUMPRODUCT(--((D20:U20)-$D$4:$U$4=1)))</f>
        <v>3</v>
      </c>
      <c r="AJ20" s="15" t="n">
        <f aca="false">IF(COUNT(D20:U20)&lt;18,"",SUMPRODUCT(--((D20:U20)-$D$4:$U$4&gt;=2)))</f>
        <v>9</v>
      </c>
    </row>
    <row r="21" customFormat="false" ht="15" hidden="false" customHeight="false" outlineLevel="0" collapsed="false">
      <c r="A21" s="36" t="s">
        <v>84</v>
      </c>
      <c r="B21" s="37" t="s">
        <v>85</v>
      </c>
      <c r="C21" s="38" t="s">
        <v>69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39" t="n">
        <f aca="false">IF(COUNT(D21:U21)=18,SUM(D21:U21),IF(W21="","",W21))</f>
        <v>117</v>
      </c>
      <c r="W21" s="41" t="n">
        <v>117</v>
      </c>
      <c r="X21" s="38" t="n">
        <v>20</v>
      </c>
      <c r="Y21" s="15" t="n">
        <f aca="false">IF(X21="","",MIN(X21,Supuestos!$F$5))</f>
        <v>20</v>
      </c>
      <c r="Z21" s="39" t="n">
        <f aca="false">IF(OR(V21="",Y21=""),"",V21-Y21)</f>
        <v>97</v>
      </c>
      <c r="AA21" s="15" t="n">
        <f aca="false">IF(Z21="","",COUNTIF($Z$6:$Z$21,"&lt;"&amp;Z21)+1)</f>
        <v>16</v>
      </c>
      <c r="AB21" s="15" t="n">
        <f aca="false">IF(Z21="","",COUNTIF($Z$6:$Z$21,Z21))</f>
        <v>1</v>
      </c>
      <c r="AC21" s="40" t="n">
        <f aca="false">IF(Z21="","",ROUND(SUMPRODUCT((Supuestos!$A$5:$A$28&gt;=AA21)*(Supuestos!$A$5:$A$28&lt;AA21+AB21)*Supuestos!$B$5:$B$28)/AB21*Supuestos!$F$6,0))</f>
        <v>0</v>
      </c>
      <c r="AD21" s="15" t="n">
        <f aca="false">IF(1=1,0,IFERROR(INDEX(Jugadores!$E$5:$E$21,MATCH(A21,Jugadores!$A$5:$A$21,0)),0))</f>
        <v>0</v>
      </c>
      <c r="AE21" s="31" t="n">
        <f aca="false">IF(OR(AC21="",AD21=0),0,AC21)</f>
        <v>0</v>
      </c>
      <c r="AF21" s="15" t="str">
        <f aca="false">IF(COUNT(D21:U21)&lt;18,"",SUMPRODUCT(--((D21:U21)-$D$4:$U$4&lt;=-2)))</f>
        <v/>
      </c>
      <c r="AG21" s="15" t="str">
        <f aca="false">IF(COUNT(D21:U21)&lt;18,"",SUMPRODUCT(--((D21:U21)-$D$4:$U$4=-1)))</f>
        <v/>
      </c>
      <c r="AH21" s="15" t="str">
        <f aca="false">IF(COUNT(D21:U21)&lt;18,"",SUMPRODUCT(--((D21:U21)-$D$4:$U$4=0)))</f>
        <v/>
      </c>
      <c r="AI21" s="15" t="str">
        <f aca="false">IF(COUNT(D21:U21)&lt;18,"",SUMPRODUCT(--((D21:U21)-$D$4:$U$4=1)))</f>
        <v/>
      </c>
      <c r="AJ21" s="15" t="str">
        <f aca="false">IF(COUNT(D21:U21)&lt;18,"",SUMPRODUCT(--((D21:U21)-$D$4:$U$4&gt;=2)))</f>
        <v/>
      </c>
    </row>
    <row r="23" customFormat="false" ht="15" hidden="false" customHeight="false" outlineLevel="0" collapsed="false">
      <c r="B23" s="3" t="s">
        <v>152</v>
      </c>
    </row>
    <row r="24" customFormat="false" ht="15" hidden="false" customHeight="false" outlineLevel="0" collapsed="false">
      <c r="B24" s="4" t="s">
        <v>153</v>
      </c>
      <c r="C24" s="21" t="n">
        <f aca="false">COUNT(V6:V21)</f>
        <v>16</v>
      </c>
    </row>
    <row r="25" customFormat="false" ht="15" hidden="false" customHeight="false" outlineLevel="0" collapsed="false">
      <c r="B25" s="4" t="s">
        <v>154</v>
      </c>
      <c r="C25" s="42" t="n">
        <f aca="false">IFERROR(AVERAGE(V6:V21),"")</f>
        <v>92.1875</v>
      </c>
    </row>
    <row r="26" customFormat="false" ht="15" hidden="false" customHeight="false" outlineLevel="0" collapsed="false">
      <c r="B26" s="4" t="s">
        <v>155</v>
      </c>
      <c r="C26" s="42" t="n">
        <f aca="false">IFERROR(AVERAGE(Z6:Z21),"")</f>
        <v>76</v>
      </c>
    </row>
    <row r="27" customFormat="false" ht="15" hidden="false" customHeight="false" outlineLevel="0" collapsed="false">
      <c r="B27" s="4" t="s">
        <v>156</v>
      </c>
      <c r="C27" s="21" t="n">
        <f aca="false">IFERROR(MIN(Z6:Z21),"")</f>
        <v>67</v>
      </c>
    </row>
    <row r="28" customFormat="false" ht="15" hidden="false" customHeight="false" outlineLevel="0" collapsed="false">
      <c r="B28" s="4" t="s">
        <v>157</v>
      </c>
      <c r="C28" s="21" t="n">
        <f aca="false">IFERROR(MIN(V6:V21),"")</f>
        <v>82</v>
      </c>
    </row>
    <row r="29" customFormat="false" ht="15" hidden="false" customHeight="false" outlineLevel="0" collapsed="false">
      <c r="B29" s="4" t="s">
        <v>158</v>
      </c>
      <c r="C29" s="21" t="n">
        <f aca="false">SUM(AF6:AF21)</f>
        <v>0</v>
      </c>
    </row>
    <row r="30" customFormat="false" ht="15" hidden="false" customHeight="false" outlineLevel="0" collapsed="false">
      <c r="B30" s="4" t="s">
        <v>159</v>
      </c>
      <c r="C30" s="21" t="n">
        <f aca="false">SUM(AG6:AG21)</f>
        <v>13</v>
      </c>
    </row>
    <row r="31" customFormat="false" ht="15" hidden="false" customHeight="false" outlineLevel="0" collapsed="false">
      <c r="B31" s="4" t="s">
        <v>160</v>
      </c>
      <c r="C31" s="21" t="n">
        <f aca="false">SUM(AH6:AH21)</f>
        <v>80</v>
      </c>
    </row>
    <row r="32" customFormat="false" ht="15" hidden="false" customHeight="false" outlineLevel="0" collapsed="false">
      <c r="B32" s="4" t="s">
        <v>161</v>
      </c>
      <c r="C32" s="21" t="n">
        <f aca="false">SUM(AI6:AI21)</f>
        <v>88</v>
      </c>
    </row>
    <row r="33" customFormat="false" ht="15" hidden="false" customHeight="false" outlineLevel="0" collapsed="false">
      <c r="B33" s="4" t="s">
        <v>162</v>
      </c>
      <c r="C33" s="21" t="n">
        <f aca="false">SUM(AJ6:AJ21)</f>
        <v>89</v>
      </c>
    </row>
  </sheetData>
  <conditionalFormatting sqref="D6:U21">
    <cfRule type="expression" priority="2" aboveAverage="0" equalAverage="0" bottom="0" percent="0" rank="0" text="" dxfId="0">
      <formula>AND(ISNUMBER(D6),D6-D$4&lt;=-2)</formula>
    </cfRule>
    <cfRule type="expression" priority="3" aboveAverage="0" equalAverage="0" bottom="0" percent="0" rank="0" text="" dxfId="1">
      <formula>AND(ISNUMBER(D6),D6-D$4=-1)</formula>
    </cfRule>
    <cfRule type="expression" priority="4" aboveAverage="0" equalAverage="0" bottom="0" percent="0" rank="0" text="" dxfId="2">
      <formula>AND(ISNUMBER(D6),D6-D$4=1)</formula>
    </cfRule>
    <cfRule type="expression" priority="5" aboveAverage="0" equalAverage="0" bottom="0" percent="0" rank="0" text="" dxfId="3">
      <formula>AND(ISNUMBER(D6),D6-D$4&gt;=2)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21" min="4" style="0" width="4.2"/>
    <col collapsed="false" customWidth="true" hidden="false" outlineLevel="0" max="22" min="22" style="0" width="7"/>
    <col collapsed="false" customWidth="true" hidden="false" outlineLevel="0" max="23" min="23" style="0" width="8"/>
    <col collapsed="false" customWidth="true" hidden="false" outlineLevel="0" max="26" min="24" style="0" width="7"/>
    <col collapsed="false" customWidth="true" hidden="false" outlineLevel="0" max="28" min="27" style="0" width="6"/>
    <col collapsed="false" customWidth="true" hidden="false" outlineLevel="0" max="29" min="29" style="0" width="8"/>
    <col collapsed="false" customWidth="true" hidden="false" outlineLevel="0" max="30" min="30" style="0" width="7"/>
    <col collapsed="false" customWidth="true" hidden="false" outlineLevel="0" max="31" min="31" style="0" width="8"/>
    <col collapsed="false" customWidth="true" hidden="false" outlineLevel="0" max="36" min="32" style="0" width="6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15" hidden="false" customHeight="false" outlineLevel="0" collapsed="false">
      <c r="B4" s="33" t="s">
        <v>119</v>
      </c>
      <c r="D4" s="34" t="n">
        <v>5</v>
      </c>
      <c r="E4" s="34" t="n">
        <v>3</v>
      </c>
      <c r="F4" s="34" t="n">
        <v>4</v>
      </c>
      <c r="G4" s="34" t="n">
        <v>5</v>
      </c>
      <c r="H4" s="34" t="n">
        <v>4</v>
      </c>
      <c r="I4" s="34" t="n">
        <v>4</v>
      </c>
      <c r="J4" s="34" t="n">
        <v>3</v>
      </c>
      <c r="K4" s="34" t="n">
        <v>4</v>
      </c>
      <c r="L4" s="34" t="n">
        <v>4</v>
      </c>
      <c r="M4" s="34" t="n">
        <v>4</v>
      </c>
      <c r="N4" s="34" t="n">
        <v>5</v>
      </c>
      <c r="O4" s="34" t="n">
        <v>4</v>
      </c>
      <c r="P4" s="34" t="n">
        <v>4</v>
      </c>
      <c r="Q4" s="34" t="n">
        <v>3</v>
      </c>
      <c r="R4" s="34" t="n">
        <v>4</v>
      </c>
      <c r="S4" s="34" t="n">
        <v>4</v>
      </c>
      <c r="T4" s="34" t="n">
        <v>3</v>
      </c>
      <c r="U4" s="34" t="n">
        <v>5</v>
      </c>
      <c r="V4" s="35" t="n">
        <f aca="false">SUM(D4:U4)</f>
        <v>72</v>
      </c>
    </row>
    <row r="5" customFormat="false" ht="15" hidden="false" customHeight="false" outlineLevel="0" collapsed="false">
      <c r="A5" s="8" t="s">
        <v>35</v>
      </c>
      <c r="B5" s="8" t="s">
        <v>9</v>
      </c>
      <c r="C5" s="8" t="s">
        <v>36</v>
      </c>
      <c r="D5" s="8" t="s">
        <v>120</v>
      </c>
      <c r="E5" s="8" t="s">
        <v>121</v>
      </c>
      <c r="F5" s="8" t="s">
        <v>122</v>
      </c>
      <c r="G5" s="8" t="s">
        <v>123</v>
      </c>
      <c r="H5" s="8" t="s">
        <v>124</v>
      </c>
      <c r="I5" s="8" t="s">
        <v>125</v>
      </c>
      <c r="J5" s="8" t="s">
        <v>126</v>
      </c>
      <c r="K5" s="8" t="s">
        <v>127</v>
      </c>
      <c r="L5" s="8" t="s">
        <v>128</v>
      </c>
      <c r="M5" s="8" t="s">
        <v>129</v>
      </c>
      <c r="N5" s="8" t="s">
        <v>130</v>
      </c>
      <c r="O5" s="8" t="s">
        <v>131</v>
      </c>
      <c r="P5" s="8" t="s">
        <v>132</v>
      </c>
      <c r="Q5" s="8" t="s">
        <v>133</v>
      </c>
      <c r="R5" s="8" t="s">
        <v>134</v>
      </c>
      <c r="S5" s="8" t="s">
        <v>135</v>
      </c>
      <c r="T5" s="8" t="s">
        <v>136</v>
      </c>
      <c r="U5" s="8" t="s">
        <v>137</v>
      </c>
      <c r="V5" s="8" t="s">
        <v>138</v>
      </c>
      <c r="W5" s="8" t="s">
        <v>139</v>
      </c>
      <c r="X5" s="8" t="s">
        <v>140</v>
      </c>
      <c r="Y5" s="8" t="s">
        <v>141</v>
      </c>
      <c r="Z5" s="8" t="s">
        <v>142</v>
      </c>
      <c r="AA5" s="8" t="s">
        <v>143</v>
      </c>
      <c r="AB5" s="8" t="s">
        <v>144</v>
      </c>
      <c r="AC5" s="8" t="s">
        <v>10</v>
      </c>
      <c r="AD5" s="8" t="s">
        <v>145</v>
      </c>
      <c r="AE5" s="8" t="s">
        <v>146</v>
      </c>
      <c r="AF5" s="8" t="s">
        <v>147</v>
      </c>
      <c r="AG5" s="8" t="s">
        <v>148</v>
      </c>
      <c r="AH5" s="8" t="s">
        <v>149</v>
      </c>
      <c r="AI5" s="8" t="s">
        <v>150</v>
      </c>
      <c r="AJ5" s="8" t="s">
        <v>151</v>
      </c>
    </row>
    <row r="6" customFormat="false" ht="15" hidden="false" customHeight="false" outlineLevel="0" collapsed="false">
      <c r="A6" s="36" t="s">
        <v>53</v>
      </c>
      <c r="B6" s="37" t="s">
        <v>54</v>
      </c>
      <c r="C6" s="38" t="s">
        <v>52</v>
      </c>
      <c r="D6" s="38" t="n">
        <v>5</v>
      </c>
      <c r="E6" s="38" t="n">
        <v>4</v>
      </c>
      <c r="F6" s="38" t="n">
        <v>8</v>
      </c>
      <c r="G6" s="38" t="n">
        <v>6</v>
      </c>
      <c r="H6" s="38" t="n">
        <v>7</v>
      </c>
      <c r="I6" s="38" t="n">
        <v>7</v>
      </c>
      <c r="J6" s="38" t="n">
        <v>6</v>
      </c>
      <c r="K6" s="38" t="n">
        <v>4</v>
      </c>
      <c r="L6" s="38" t="n">
        <v>6</v>
      </c>
      <c r="M6" s="38" t="n">
        <v>4</v>
      </c>
      <c r="N6" s="38" t="n">
        <v>5</v>
      </c>
      <c r="O6" s="38" t="n">
        <v>4</v>
      </c>
      <c r="P6" s="38" t="n">
        <v>6</v>
      </c>
      <c r="Q6" s="38" t="n">
        <v>4</v>
      </c>
      <c r="R6" s="38" t="n">
        <v>4</v>
      </c>
      <c r="S6" s="38" t="n">
        <v>5</v>
      </c>
      <c r="T6" s="38" t="n">
        <v>5</v>
      </c>
      <c r="U6" s="38" t="n">
        <v>7</v>
      </c>
      <c r="V6" s="39" t="n">
        <f aca="false">IF(COUNT(D6:U6)=18,SUM(D6:U6),IF(W6="","",W6))</f>
        <v>97</v>
      </c>
      <c r="W6" s="20"/>
      <c r="X6" s="38" t="n">
        <v>12</v>
      </c>
      <c r="Y6" s="15" t="n">
        <f aca="false">IF(X6="","",MIN(X6,Supuestos!$F$5))</f>
        <v>12</v>
      </c>
      <c r="Z6" s="39" t="n">
        <f aca="false">IF(OR(V6="",Y6=""),"",V6-Y6)</f>
        <v>85</v>
      </c>
      <c r="AA6" s="15" t="n">
        <f aca="false">IF(Z6="","",COUNTIF($Z$6:$Z$19,"&lt;"&amp;Z6)+1)</f>
        <v>11</v>
      </c>
      <c r="AB6" s="15" t="n">
        <f aca="false">IF(Z6="","",COUNTIF($Z$6:$Z$19,Z6))</f>
        <v>2</v>
      </c>
      <c r="AC6" s="40" t="n">
        <f aca="false">IF(Z6="","",ROUND(SUMPRODUCT((Supuestos!$A$5:$A$28&gt;=AA6)*(Supuestos!$A$5:$A$28&lt;AA6+AB6)*Supuestos!$B$5:$B$28)/AB6*Supuestos!$F$6,0))</f>
        <v>20</v>
      </c>
      <c r="AD6" s="15" t="n">
        <f aca="false">IF(0=1,0,IFERROR(INDEX(Jugadores!$E$5:$E$21,MATCH(A6,Jugadores!$A$5:$A$21,0)),0))</f>
        <v>1</v>
      </c>
      <c r="AE6" s="31" t="n">
        <f aca="false">IF(OR(AC6="",AD6=0),0,AC6)</f>
        <v>20</v>
      </c>
      <c r="AF6" s="15" t="n">
        <f aca="false">IF(COUNT(D6:U6)&lt;18,"",SUMPRODUCT(--((D6:U6)-$D$4:$U$4&lt;=-2)))</f>
        <v>0</v>
      </c>
      <c r="AG6" s="15" t="n">
        <f aca="false">IF(COUNT(D6:U6)&lt;18,"",SUMPRODUCT(--((D6:U6)-$D$4:$U$4=-1)))</f>
        <v>0</v>
      </c>
      <c r="AH6" s="15" t="n">
        <f aca="false">IF(COUNT(D6:U6)&lt;18,"",SUMPRODUCT(--((D6:U6)-$D$4:$U$4=0)))</f>
        <v>6</v>
      </c>
      <c r="AI6" s="15" t="n">
        <f aca="false">IF(COUNT(D6:U6)&lt;18,"",SUMPRODUCT(--((D6:U6)-$D$4:$U$4=1)))</f>
        <v>4</v>
      </c>
      <c r="AJ6" s="15" t="n">
        <f aca="false">IF(COUNT(D6:U6)&lt;18,"",SUMPRODUCT(--((D6:U6)-$D$4:$U$4&gt;=2)))</f>
        <v>8</v>
      </c>
    </row>
    <row r="7" customFormat="false" ht="15" hidden="false" customHeight="false" outlineLevel="0" collapsed="false">
      <c r="A7" s="36" t="s">
        <v>59</v>
      </c>
      <c r="B7" s="37" t="s">
        <v>60</v>
      </c>
      <c r="C7" s="38" t="s">
        <v>52</v>
      </c>
      <c r="D7" s="38" t="n">
        <v>5</v>
      </c>
      <c r="E7" s="38" t="n">
        <v>5</v>
      </c>
      <c r="F7" s="38" t="n">
        <v>5</v>
      </c>
      <c r="G7" s="38" t="n">
        <v>9</v>
      </c>
      <c r="H7" s="38" t="n">
        <v>6</v>
      </c>
      <c r="I7" s="38" t="n">
        <v>5</v>
      </c>
      <c r="J7" s="38" t="n">
        <v>5</v>
      </c>
      <c r="K7" s="38" t="n">
        <v>4</v>
      </c>
      <c r="L7" s="38" t="n">
        <v>6</v>
      </c>
      <c r="M7" s="38" t="n">
        <v>5</v>
      </c>
      <c r="N7" s="38" t="n">
        <v>5</v>
      </c>
      <c r="O7" s="38" t="n">
        <v>6</v>
      </c>
      <c r="P7" s="38" t="n">
        <v>3</v>
      </c>
      <c r="Q7" s="38" t="n">
        <v>4</v>
      </c>
      <c r="R7" s="38" t="n">
        <v>6</v>
      </c>
      <c r="S7" s="38" t="n">
        <v>6</v>
      </c>
      <c r="T7" s="38" t="n">
        <v>2</v>
      </c>
      <c r="U7" s="38" t="n">
        <v>5</v>
      </c>
      <c r="V7" s="39" t="n">
        <f aca="false">IF(COUNT(D7:U7)=18,SUM(D7:U7),IF(W7="","",W7))</f>
        <v>92</v>
      </c>
      <c r="W7" s="20"/>
      <c r="X7" s="38" t="n">
        <v>15</v>
      </c>
      <c r="Y7" s="15" t="n">
        <f aca="false">IF(X7="","",MIN(X7,Supuestos!$F$5))</f>
        <v>15</v>
      </c>
      <c r="Z7" s="39" t="n">
        <f aca="false">IF(OR(V7="",Y7=""),"",V7-Y7)</f>
        <v>77</v>
      </c>
      <c r="AA7" s="15" t="n">
        <f aca="false">IF(Z7="","",COUNTIF($Z$6:$Z$19,"&lt;"&amp;Z7)+1)</f>
        <v>10</v>
      </c>
      <c r="AB7" s="15" t="n">
        <f aca="false">IF(Z7="","",COUNTIF($Z$6:$Z$19,Z7))</f>
        <v>1</v>
      </c>
      <c r="AC7" s="40" t="n">
        <f aca="false">IF(Z7="","",ROUND(SUMPRODUCT((Supuestos!$A$5:$A$28&gt;=AA7)*(Supuestos!$A$5:$A$28&lt;AA7+AB7)*Supuestos!$B$5:$B$28)/AB7*Supuestos!$F$6,0))</f>
        <v>70</v>
      </c>
      <c r="AD7" s="15" t="n">
        <f aca="false">IF(0=1,0,IFERROR(INDEX(Jugadores!$E$5:$E$21,MATCH(A7,Jugadores!$A$5:$A$21,0)),0))</f>
        <v>1</v>
      </c>
      <c r="AE7" s="31" t="n">
        <f aca="false">IF(OR(AC7="",AD7=0),0,AC7)</f>
        <v>70</v>
      </c>
      <c r="AF7" s="15" t="n">
        <f aca="false">IF(COUNT(D7:U7)&lt;18,"",SUMPRODUCT(--((D7:U7)-$D$4:$U$4&lt;=-2)))</f>
        <v>0</v>
      </c>
      <c r="AG7" s="15" t="n">
        <f aca="false">IF(COUNT(D7:U7)&lt;18,"",SUMPRODUCT(--((D7:U7)-$D$4:$U$4=-1)))</f>
        <v>2</v>
      </c>
      <c r="AH7" s="15" t="n">
        <f aca="false">IF(COUNT(D7:U7)&lt;18,"",SUMPRODUCT(--((D7:U7)-$D$4:$U$4=0)))</f>
        <v>4</v>
      </c>
      <c r="AI7" s="15" t="n">
        <f aca="false">IF(COUNT(D7:U7)&lt;18,"",SUMPRODUCT(--((D7:U7)-$D$4:$U$4=1)))</f>
        <v>4</v>
      </c>
      <c r="AJ7" s="15" t="n">
        <f aca="false">IF(COUNT(D7:U7)&lt;18,"",SUMPRODUCT(--((D7:U7)-$D$4:$U$4&gt;=2)))</f>
        <v>8</v>
      </c>
    </row>
    <row r="8" customFormat="false" ht="15" hidden="false" customHeight="false" outlineLevel="0" collapsed="false">
      <c r="A8" s="36" t="s">
        <v>61</v>
      </c>
      <c r="B8" s="37" t="s">
        <v>62</v>
      </c>
      <c r="C8" s="38" t="s">
        <v>52</v>
      </c>
      <c r="D8" s="38" t="n">
        <v>8</v>
      </c>
      <c r="E8" s="38" t="n">
        <v>3</v>
      </c>
      <c r="F8" s="38" t="n">
        <v>4</v>
      </c>
      <c r="G8" s="38" t="n">
        <v>6</v>
      </c>
      <c r="H8" s="38" t="n">
        <v>5</v>
      </c>
      <c r="I8" s="38" t="n">
        <v>5</v>
      </c>
      <c r="J8" s="38" t="n">
        <v>4</v>
      </c>
      <c r="K8" s="38" t="n">
        <v>6</v>
      </c>
      <c r="L8" s="38" t="n">
        <v>6</v>
      </c>
      <c r="M8" s="38" t="n">
        <v>6</v>
      </c>
      <c r="N8" s="38" t="n">
        <v>5</v>
      </c>
      <c r="O8" s="38" t="n">
        <v>5</v>
      </c>
      <c r="P8" s="38" t="n">
        <v>5</v>
      </c>
      <c r="Q8" s="38" t="n">
        <v>4</v>
      </c>
      <c r="R8" s="38" t="n">
        <v>6</v>
      </c>
      <c r="S8" s="38" t="n">
        <v>6</v>
      </c>
      <c r="T8" s="38" t="n">
        <v>3</v>
      </c>
      <c r="U8" s="38" t="n">
        <v>6</v>
      </c>
      <c r="V8" s="39" t="n">
        <f aca="false">IF(COUNT(D8:U8)=18,SUM(D8:U8),IF(W8="","",W8))</f>
        <v>93</v>
      </c>
      <c r="W8" s="20"/>
      <c r="X8" s="38" t="n">
        <v>20</v>
      </c>
      <c r="Y8" s="15" t="n">
        <f aca="false">IF(X8="","",MIN(X8,Supuestos!$F$5))</f>
        <v>20</v>
      </c>
      <c r="Z8" s="39" t="n">
        <f aca="false">IF(OR(V8="",Y8=""),"",V8-Y8)</f>
        <v>73</v>
      </c>
      <c r="AA8" s="15" t="n">
        <f aca="false">IF(Z8="","",COUNTIF($Z$6:$Z$19,"&lt;"&amp;Z8)+1)</f>
        <v>4</v>
      </c>
      <c r="AB8" s="15" t="n">
        <f aca="false">IF(Z8="","",COUNTIF($Z$6:$Z$19,Z8))</f>
        <v>3</v>
      </c>
      <c r="AC8" s="40" t="n">
        <f aca="false">IF(Z8="","",ROUND(SUMPRODUCT((Supuestos!$A$5:$A$28&gt;=AA8)*(Supuestos!$A$5:$A$28&lt;AA8+AB8)*Supuestos!$B$5:$B$28)/AB8*Supuestos!$F$6,0))</f>
        <v>123</v>
      </c>
      <c r="AD8" s="15" t="n">
        <f aca="false">IF(0=1,0,IFERROR(INDEX(Jugadores!$E$5:$E$21,MATCH(A8,Jugadores!$A$5:$A$21,0)),0))</f>
        <v>1</v>
      </c>
      <c r="AE8" s="31" t="n">
        <f aca="false">IF(OR(AC8="",AD8=0),0,AC8)</f>
        <v>123</v>
      </c>
      <c r="AF8" s="15" t="n">
        <f aca="false">IF(COUNT(D8:U8)&lt;18,"",SUMPRODUCT(--((D8:U8)-$D$4:$U$4&lt;=-2)))</f>
        <v>0</v>
      </c>
      <c r="AG8" s="15" t="n">
        <f aca="false">IF(COUNT(D8:U8)&lt;18,"",SUMPRODUCT(--((D8:U8)-$D$4:$U$4=-1)))</f>
        <v>0</v>
      </c>
      <c r="AH8" s="15" t="n">
        <f aca="false">IF(COUNT(D8:U8)&lt;18,"",SUMPRODUCT(--((D8:U8)-$D$4:$U$4=0)))</f>
        <v>4</v>
      </c>
      <c r="AI8" s="15" t="n">
        <f aca="false">IF(COUNT(D8:U8)&lt;18,"",SUMPRODUCT(--((D8:U8)-$D$4:$U$4=1)))</f>
        <v>8</v>
      </c>
      <c r="AJ8" s="15" t="n">
        <f aca="false">IF(COUNT(D8:U8)&lt;18,"",SUMPRODUCT(--((D8:U8)-$D$4:$U$4&gt;=2)))</f>
        <v>6</v>
      </c>
    </row>
    <row r="9" customFormat="false" ht="15" hidden="false" customHeight="false" outlineLevel="0" collapsed="false">
      <c r="A9" s="36" t="s">
        <v>63</v>
      </c>
      <c r="B9" s="37" t="s">
        <v>64</v>
      </c>
      <c r="C9" s="38" t="s">
        <v>52</v>
      </c>
      <c r="D9" s="38" t="n">
        <v>5</v>
      </c>
      <c r="E9" s="38" t="n">
        <v>5</v>
      </c>
      <c r="F9" s="38" t="n">
        <v>5</v>
      </c>
      <c r="G9" s="38" t="n">
        <v>7</v>
      </c>
      <c r="H9" s="38" t="n">
        <v>6</v>
      </c>
      <c r="I9" s="38" t="n">
        <v>6</v>
      </c>
      <c r="J9" s="38" t="n">
        <v>3</v>
      </c>
      <c r="K9" s="38" t="n">
        <v>6</v>
      </c>
      <c r="L9" s="38" t="n">
        <v>6</v>
      </c>
      <c r="M9" s="38" t="n">
        <v>4</v>
      </c>
      <c r="N9" s="38" t="n">
        <v>6</v>
      </c>
      <c r="O9" s="38" t="n">
        <v>5</v>
      </c>
      <c r="P9" s="38" t="n">
        <v>7</v>
      </c>
      <c r="Q9" s="38" t="n">
        <v>4</v>
      </c>
      <c r="R9" s="38" t="n">
        <v>5</v>
      </c>
      <c r="S9" s="38" t="n">
        <v>7</v>
      </c>
      <c r="T9" s="38" t="n">
        <v>3</v>
      </c>
      <c r="U9" s="38" t="n">
        <v>5</v>
      </c>
      <c r="V9" s="39" t="n">
        <f aca="false">IF(COUNT(D9:U9)=18,SUM(D9:U9),IF(W9="","",W9))</f>
        <v>95</v>
      </c>
      <c r="W9" s="20"/>
      <c r="X9" s="38" t="n">
        <v>20</v>
      </c>
      <c r="Y9" s="15" t="n">
        <f aca="false">IF(X9="","",MIN(X9,Supuestos!$F$5))</f>
        <v>20</v>
      </c>
      <c r="Z9" s="39" t="n">
        <f aca="false">IF(OR(V9="",Y9=""),"",V9-Y9)</f>
        <v>75</v>
      </c>
      <c r="AA9" s="15" t="n">
        <f aca="false">IF(Z9="","",COUNTIF($Z$6:$Z$19,"&lt;"&amp;Z9)+1)</f>
        <v>8</v>
      </c>
      <c r="AB9" s="15" t="n">
        <f aca="false">IF(Z9="","",COUNTIF($Z$6:$Z$19,Z9))</f>
        <v>1</v>
      </c>
      <c r="AC9" s="40" t="n">
        <f aca="false">IF(Z9="","",ROUND(SUMPRODUCT((Supuestos!$A$5:$A$28&gt;=AA9)*(Supuestos!$A$5:$A$28&lt;AA9+AB9)*Supuestos!$B$5:$B$28)/AB9*Supuestos!$F$6,0))</f>
        <v>80</v>
      </c>
      <c r="AD9" s="15" t="n">
        <f aca="false">IF(0=1,0,IFERROR(INDEX(Jugadores!$E$5:$E$21,MATCH(A9,Jugadores!$A$5:$A$21,0)),0))</f>
        <v>1</v>
      </c>
      <c r="AE9" s="31" t="n">
        <f aca="false">IF(OR(AC9="",AD9=0),0,AC9)</f>
        <v>80</v>
      </c>
      <c r="AF9" s="15" t="n">
        <f aca="false">IF(COUNT(D9:U9)&lt;18,"",SUMPRODUCT(--((D9:U9)-$D$4:$U$4&lt;=-2)))</f>
        <v>0</v>
      </c>
      <c r="AG9" s="15" t="n">
        <f aca="false">IF(COUNT(D9:U9)&lt;18,"",SUMPRODUCT(--((D9:U9)-$D$4:$U$4=-1)))</f>
        <v>0</v>
      </c>
      <c r="AH9" s="15" t="n">
        <f aca="false">IF(COUNT(D9:U9)&lt;18,"",SUMPRODUCT(--((D9:U9)-$D$4:$U$4=0)))</f>
        <v>5</v>
      </c>
      <c r="AI9" s="15" t="n">
        <f aca="false">IF(COUNT(D9:U9)&lt;18,"",SUMPRODUCT(--((D9:U9)-$D$4:$U$4=1)))</f>
        <v>5</v>
      </c>
      <c r="AJ9" s="15" t="n">
        <f aca="false">IF(COUNT(D9:U9)&lt;18,"",SUMPRODUCT(--((D9:U9)-$D$4:$U$4&gt;=2)))</f>
        <v>8</v>
      </c>
    </row>
    <row r="10" customFormat="false" ht="15" hidden="false" customHeight="false" outlineLevel="0" collapsed="false">
      <c r="A10" s="36" t="s">
        <v>65</v>
      </c>
      <c r="B10" s="37" t="s">
        <v>66</v>
      </c>
      <c r="C10" s="38" t="s">
        <v>52</v>
      </c>
      <c r="D10" s="38" t="n">
        <v>6</v>
      </c>
      <c r="E10" s="38" t="n">
        <v>4</v>
      </c>
      <c r="F10" s="38" t="n">
        <v>6</v>
      </c>
      <c r="G10" s="38" t="n">
        <v>8</v>
      </c>
      <c r="H10" s="38" t="n">
        <v>5</v>
      </c>
      <c r="I10" s="38" t="n">
        <v>6</v>
      </c>
      <c r="J10" s="38" t="n">
        <v>4</v>
      </c>
      <c r="K10" s="38" t="n">
        <v>4</v>
      </c>
      <c r="L10" s="38" t="n">
        <v>5</v>
      </c>
      <c r="M10" s="38" t="n">
        <v>5</v>
      </c>
      <c r="N10" s="38" t="n">
        <v>4</v>
      </c>
      <c r="O10" s="38" t="n">
        <v>5</v>
      </c>
      <c r="P10" s="38" t="n">
        <v>7</v>
      </c>
      <c r="Q10" s="38" t="n">
        <v>7</v>
      </c>
      <c r="R10" s="38" t="n">
        <v>6</v>
      </c>
      <c r="S10" s="38" t="n">
        <v>5</v>
      </c>
      <c r="T10" s="38" t="n">
        <v>4</v>
      </c>
      <c r="U10" s="38" t="n">
        <v>4</v>
      </c>
      <c r="V10" s="39" t="n">
        <f aca="false">IF(COUNT(D10:U10)=18,SUM(D10:U10),IF(W10="","",W10))</f>
        <v>95</v>
      </c>
      <c r="W10" s="20"/>
      <c r="X10" s="38" t="n">
        <v>22</v>
      </c>
      <c r="Y10" s="15" t="n">
        <f aca="false">IF(X10="","",MIN(X10,Supuestos!$F$5))</f>
        <v>22</v>
      </c>
      <c r="Z10" s="39" t="n">
        <f aca="false">IF(OR(V10="",Y10=""),"",V10-Y10)</f>
        <v>73</v>
      </c>
      <c r="AA10" s="15" t="n">
        <f aca="false">IF(Z10="","",COUNTIF($Z$6:$Z$19,"&lt;"&amp;Z10)+1)</f>
        <v>4</v>
      </c>
      <c r="AB10" s="15" t="n">
        <f aca="false">IF(Z10="","",COUNTIF($Z$6:$Z$19,Z10))</f>
        <v>3</v>
      </c>
      <c r="AC10" s="40" t="n">
        <f aca="false">IF(Z10="","",ROUND(SUMPRODUCT((Supuestos!$A$5:$A$28&gt;=AA10)*(Supuestos!$A$5:$A$28&lt;AA10+AB10)*Supuestos!$B$5:$B$28)/AB10*Supuestos!$F$6,0))</f>
        <v>123</v>
      </c>
      <c r="AD10" s="15" t="n">
        <f aca="false">IF(0=1,0,IFERROR(INDEX(Jugadores!$E$5:$E$21,MATCH(A10,Jugadores!$A$5:$A$21,0)),0))</f>
        <v>1</v>
      </c>
      <c r="AE10" s="31" t="n">
        <f aca="false">IF(OR(AC10="",AD10=0),0,AC10)</f>
        <v>123</v>
      </c>
      <c r="AF10" s="15" t="n">
        <f aca="false">IF(COUNT(D10:U10)&lt;18,"",SUMPRODUCT(--((D10:U10)-$D$4:$U$4&lt;=-2)))</f>
        <v>0</v>
      </c>
      <c r="AG10" s="15" t="n">
        <f aca="false">IF(COUNT(D10:U10)&lt;18,"",SUMPRODUCT(--((D10:U10)-$D$4:$U$4=-1)))</f>
        <v>2</v>
      </c>
      <c r="AH10" s="15" t="n">
        <f aca="false">IF(COUNT(D10:U10)&lt;18,"",SUMPRODUCT(--((D10:U10)-$D$4:$U$4=0)))</f>
        <v>1</v>
      </c>
      <c r="AI10" s="15" t="n">
        <f aca="false">IF(COUNT(D10:U10)&lt;18,"",SUMPRODUCT(--((D10:U10)-$D$4:$U$4=1)))</f>
        <v>9</v>
      </c>
      <c r="AJ10" s="15" t="n">
        <f aca="false">IF(COUNT(D10:U10)&lt;18,"",SUMPRODUCT(--((D10:U10)-$D$4:$U$4&gt;=2)))</f>
        <v>6</v>
      </c>
    </row>
    <row r="11" customFormat="false" ht="15" hidden="false" customHeight="false" outlineLevel="0" collapsed="false">
      <c r="A11" s="36" t="s">
        <v>67</v>
      </c>
      <c r="B11" s="37" t="s">
        <v>68</v>
      </c>
      <c r="C11" s="38" t="s">
        <v>69</v>
      </c>
      <c r="D11" s="38" t="n">
        <v>4</v>
      </c>
      <c r="E11" s="38" t="n">
        <v>3</v>
      </c>
      <c r="F11" s="38" t="n">
        <v>4</v>
      </c>
      <c r="G11" s="38" t="n">
        <v>6</v>
      </c>
      <c r="H11" s="38" t="n">
        <v>4</v>
      </c>
      <c r="I11" s="38" t="n">
        <v>4</v>
      </c>
      <c r="J11" s="38" t="n">
        <v>3</v>
      </c>
      <c r="K11" s="38" t="n">
        <v>3</v>
      </c>
      <c r="L11" s="38" t="n">
        <v>4</v>
      </c>
      <c r="M11" s="38" t="n">
        <v>6</v>
      </c>
      <c r="N11" s="38" t="n">
        <v>5</v>
      </c>
      <c r="O11" s="38" t="n">
        <v>4</v>
      </c>
      <c r="P11" s="38" t="n">
        <v>4</v>
      </c>
      <c r="Q11" s="38" t="n">
        <v>2</v>
      </c>
      <c r="R11" s="38" t="n">
        <v>5</v>
      </c>
      <c r="S11" s="38" t="n">
        <v>4</v>
      </c>
      <c r="T11" s="38" t="n">
        <v>3</v>
      </c>
      <c r="U11" s="38" t="n">
        <v>7</v>
      </c>
      <c r="V11" s="39" t="n">
        <f aca="false">IF(COUNT(D11:U11)=18,SUM(D11:U11),IF(W11="","",W11))</f>
        <v>75</v>
      </c>
      <c r="W11" s="20"/>
      <c r="X11" s="38" t="n">
        <v>9</v>
      </c>
      <c r="Y11" s="15" t="n">
        <f aca="false">IF(X11="","",MIN(X11,Supuestos!$F$5))</f>
        <v>9</v>
      </c>
      <c r="Z11" s="39" t="n">
        <f aca="false">IF(OR(V11="",Y11=""),"",V11-Y11)</f>
        <v>66</v>
      </c>
      <c r="AA11" s="15" t="n">
        <f aca="false">IF(Z11="","",COUNTIF($Z$6:$Z$19,"&lt;"&amp;Z11)+1)</f>
        <v>1</v>
      </c>
      <c r="AB11" s="15" t="n">
        <f aca="false">IF(Z11="","",COUNTIF($Z$6:$Z$19,Z11))</f>
        <v>1</v>
      </c>
      <c r="AC11" s="40" t="n">
        <f aca="false">IF(Z11="","",ROUND(SUMPRODUCT((Supuestos!$A$5:$A$28&gt;=AA11)*(Supuestos!$A$5:$A$28&lt;AA11+AB11)*Supuestos!$B$5:$B$28)/AB11*Supuestos!$F$6,0))</f>
        <v>500</v>
      </c>
      <c r="AD11" s="15" t="n">
        <f aca="false">IF(0=1,0,IFERROR(INDEX(Jugadores!$E$5:$E$21,MATCH(A11,Jugadores!$A$5:$A$21,0)),0))</f>
        <v>1</v>
      </c>
      <c r="AE11" s="31" t="n">
        <f aca="false">IF(OR(AC11="",AD11=0),0,AC11)</f>
        <v>500</v>
      </c>
      <c r="AF11" s="15" t="n">
        <f aca="false">IF(COUNT(D11:U11)&lt;18,"",SUMPRODUCT(--((D11:U11)-$D$4:$U$4&lt;=-2)))</f>
        <v>0</v>
      </c>
      <c r="AG11" s="15" t="n">
        <f aca="false">IF(COUNT(D11:U11)&lt;18,"",SUMPRODUCT(--((D11:U11)-$D$4:$U$4=-1)))</f>
        <v>3</v>
      </c>
      <c r="AH11" s="15" t="n">
        <f aca="false">IF(COUNT(D11:U11)&lt;18,"",SUMPRODUCT(--((D11:U11)-$D$4:$U$4=0)))</f>
        <v>11</v>
      </c>
      <c r="AI11" s="15" t="n">
        <f aca="false">IF(COUNT(D11:U11)&lt;18,"",SUMPRODUCT(--((D11:U11)-$D$4:$U$4=1)))</f>
        <v>2</v>
      </c>
      <c r="AJ11" s="15" t="n">
        <f aca="false">IF(COUNT(D11:U11)&lt;18,"",SUMPRODUCT(--((D11:U11)-$D$4:$U$4&gt;=2)))</f>
        <v>2</v>
      </c>
    </row>
    <row r="12" customFormat="false" ht="15" hidden="false" customHeight="false" outlineLevel="0" collapsed="false">
      <c r="A12" s="36" t="s">
        <v>70</v>
      </c>
      <c r="B12" s="37" t="s">
        <v>71</v>
      </c>
      <c r="C12" s="38" t="s">
        <v>69</v>
      </c>
      <c r="D12" s="38" t="n">
        <v>6</v>
      </c>
      <c r="E12" s="38" t="n">
        <v>4</v>
      </c>
      <c r="F12" s="38" t="n">
        <v>4</v>
      </c>
      <c r="G12" s="38" t="n">
        <v>6</v>
      </c>
      <c r="H12" s="38" t="n">
        <v>5</v>
      </c>
      <c r="I12" s="38" t="n">
        <v>5</v>
      </c>
      <c r="J12" s="38" t="n">
        <v>4</v>
      </c>
      <c r="K12" s="38" t="n">
        <v>7</v>
      </c>
      <c r="L12" s="38" t="n">
        <v>3</v>
      </c>
      <c r="M12" s="38" t="n">
        <v>4</v>
      </c>
      <c r="N12" s="38" t="n">
        <v>5</v>
      </c>
      <c r="O12" s="38" t="n">
        <v>5</v>
      </c>
      <c r="P12" s="38" t="n">
        <v>6</v>
      </c>
      <c r="Q12" s="38" t="n">
        <v>3</v>
      </c>
      <c r="R12" s="38" t="n">
        <v>4</v>
      </c>
      <c r="S12" s="38" t="n">
        <v>4</v>
      </c>
      <c r="T12" s="38" t="n">
        <v>3</v>
      </c>
      <c r="U12" s="38" t="n">
        <v>5</v>
      </c>
      <c r="V12" s="39" t="n">
        <f aca="false">IF(COUNT(D12:U12)=18,SUM(D12:U12),IF(W12="","",W12))</f>
        <v>83</v>
      </c>
      <c r="W12" s="20"/>
      <c r="X12" s="38" t="n">
        <v>13</v>
      </c>
      <c r="Y12" s="15" t="n">
        <f aca="false">IF(X12="","",MIN(X12,Supuestos!$F$5))</f>
        <v>13</v>
      </c>
      <c r="Z12" s="39" t="n">
        <f aca="false">IF(OR(V12="",Y12=""),"",V12-Y12)</f>
        <v>70</v>
      </c>
      <c r="AA12" s="15" t="n">
        <f aca="false">IF(Z12="","",COUNTIF($Z$6:$Z$19,"&lt;"&amp;Z12)+1)</f>
        <v>2</v>
      </c>
      <c r="AB12" s="15" t="n">
        <f aca="false">IF(Z12="","",COUNTIF($Z$6:$Z$19,Z12))</f>
        <v>2</v>
      </c>
      <c r="AC12" s="40" t="n">
        <f aca="false">IF(Z12="","",ROUND(SUMPRODUCT((Supuestos!$A$5:$A$28&gt;=AA12)*(Supuestos!$A$5:$A$28&lt;AA12+AB12)*Supuestos!$B$5:$B$28)/AB12*Supuestos!$F$6,0))</f>
        <v>250</v>
      </c>
      <c r="AD12" s="15" t="n">
        <f aca="false">IF(0=1,0,IFERROR(INDEX(Jugadores!$E$5:$E$21,MATCH(A12,Jugadores!$A$5:$A$21,0)),0))</f>
        <v>1</v>
      </c>
      <c r="AE12" s="31" t="n">
        <f aca="false">IF(OR(AC12="",AD12=0),0,AC12)</f>
        <v>250</v>
      </c>
      <c r="AF12" s="15" t="n">
        <f aca="false">IF(COUNT(D12:U12)&lt;18,"",SUMPRODUCT(--((D12:U12)-$D$4:$U$4&lt;=-2)))</f>
        <v>0</v>
      </c>
      <c r="AG12" s="15" t="n">
        <f aca="false">IF(COUNT(D12:U12)&lt;18,"",SUMPRODUCT(--((D12:U12)-$D$4:$U$4=-1)))</f>
        <v>1</v>
      </c>
      <c r="AH12" s="15" t="n">
        <f aca="false">IF(COUNT(D12:U12)&lt;18,"",SUMPRODUCT(--((D12:U12)-$D$4:$U$4=0)))</f>
        <v>8</v>
      </c>
      <c r="AI12" s="15" t="n">
        <f aca="false">IF(COUNT(D12:U12)&lt;18,"",SUMPRODUCT(--((D12:U12)-$D$4:$U$4=1)))</f>
        <v>7</v>
      </c>
      <c r="AJ12" s="15" t="n">
        <f aca="false">IF(COUNT(D12:U12)&lt;18,"",SUMPRODUCT(--((D12:U12)-$D$4:$U$4&gt;=2)))</f>
        <v>2</v>
      </c>
    </row>
    <row r="13" customFormat="false" ht="15" hidden="false" customHeight="false" outlineLevel="0" collapsed="false">
      <c r="A13" s="36" t="s">
        <v>72</v>
      </c>
      <c r="B13" s="37" t="s">
        <v>73</v>
      </c>
      <c r="C13" s="38" t="s">
        <v>69</v>
      </c>
      <c r="D13" s="38" t="n">
        <v>8</v>
      </c>
      <c r="E13" s="38" t="n">
        <v>5</v>
      </c>
      <c r="F13" s="38" t="n">
        <v>4</v>
      </c>
      <c r="G13" s="38" t="n">
        <v>6</v>
      </c>
      <c r="H13" s="38" t="n">
        <v>4</v>
      </c>
      <c r="I13" s="38" t="n">
        <v>5</v>
      </c>
      <c r="J13" s="38" t="n">
        <v>2</v>
      </c>
      <c r="K13" s="38" t="n">
        <v>5</v>
      </c>
      <c r="L13" s="38" t="n">
        <v>6</v>
      </c>
      <c r="M13" s="38" t="n">
        <v>4</v>
      </c>
      <c r="N13" s="38" t="n">
        <v>7</v>
      </c>
      <c r="O13" s="38" t="n">
        <v>5</v>
      </c>
      <c r="P13" s="38" t="n">
        <v>4</v>
      </c>
      <c r="Q13" s="38" t="n">
        <v>4</v>
      </c>
      <c r="R13" s="38" t="n">
        <v>5</v>
      </c>
      <c r="S13" s="38" t="n">
        <v>5</v>
      </c>
      <c r="T13" s="38" t="n">
        <v>5</v>
      </c>
      <c r="U13" s="38" t="n">
        <v>7</v>
      </c>
      <c r="V13" s="39" t="n">
        <f aca="false">IF(COUNT(D13:U13)=18,SUM(D13:U13),IF(W13="","",W13))</f>
        <v>91</v>
      </c>
      <c r="W13" s="20"/>
      <c r="X13" s="38" t="n">
        <v>18</v>
      </c>
      <c r="Y13" s="15" t="n">
        <f aca="false">IF(X13="","",MIN(X13,Supuestos!$F$5))</f>
        <v>18</v>
      </c>
      <c r="Z13" s="39" t="n">
        <f aca="false">IF(OR(V13="",Y13=""),"",V13-Y13)</f>
        <v>73</v>
      </c>
      <c r="AA13" s="15" t="n">
        <f aca="false">IF(Z13="","",COUNTIF($Z$6:$Z$19,"&lt;"&amp;Z13)+1)</f>
        <v>4</v>
      </c>
      <c r="AB13" s="15" t="n">
        <f aca="false">IF(Z13="","",COUNTIF($Z$6:$Z$19,Z13))</f>
        <v>3</v>
      </c>
      <c r="AC13" s="40" t="n">
        <f aca="false">IF(Z13="","",ROUND(SUMPRODUCT((Supuestos!$A$5:$A$28&gt;=AA13)*(Supuestos!$A$5:$A$28&lt;AA13+AB13)*Supuestos!$B$5:$B$28)/AB13*Supuestos!$F$6,0))</f>
        <v>123</v>
      </c>
      <c r="AD13" s="15" t="n">
        <f aca="false">IF(0=1,0,IFERROR(INDEX(Jugadores!$E$5:$E$21,MATCH(A13,Jugadores!$A$5:$A$21,0)),0))</f>
        <v>1</v>
      </c>
      <c r="AE13" s="31" t="n">
        <f aca="false">IF(OR(AC13="",AD13=0),0,AC13)</f>
        <v>123</v>
      </c>
      <c r="AF13" s="15" t="n">
        <f aca="false">IF(COUNT(D13:U13)&lt;18,"",SUMPRODUCT(--((D13:U13)-$D$4:$U$4&lt;=-2)))</f>
        <v>0</v>
      </c>
      <c r="AG13" s="15" t="n">
        <f aca="false">IF(COUNT(D13:U13)&lt;18,"",SUMPRODUCT(--((D13:U13)-$D$4:$U$4=-1)))</f>
        <v>1</v>
      </c>
      <c r="AH13" s="15" t="n">
        <f aca="false">IF(COUNT(D13:U13)&lt;18,"",SUMPRODUCT(--((D13:U13)-$D$4:$U$4=0)))</f>
        <v>4</v>
      </c>
      <c r="AI13" s="15" t="n">
        <f aca="false">IF(COUNT(D13:U13)&lt;18,"",SUMPRODUCT(--((D13:U13)-$D$4:$U$4=1)))</f>
        <v>7</v>
      </c>
      <c r="AJ13" s="15" t="n">
        <f aca="false">IF(COUNT(D13:U13)&lt;18,"",SUMPRODUCT(--((D13:U13)-$D$4:$U$4&gt;=2)))</f>
        <v>6</v>
      </c>
    </row>
    <row r="14" customFormat="false" ht="15" hidden="false" customHeight="false" outlineLevel="0" collapsed="false">
      <c r="A14" s="36" t="s">
        <v>74</v>
      </c>
      <c r="B14" s="37" t="s">
        <v>75</v>
      </c>
      <c r="C14" s="38" t="s">
        <v>69</v>
      </c>
      <c r="D14" s="38" t="n">
        <v>8</v>
      </c>
      <c r="E14" s="38" t="n">
        <v>3</v>
      </c>
      <c r="F14" s="38" t="n">
        <v>7</v>
      </c>
      <c r="G14" s="38" t="n">
        <v>7</v>
      </c>
      <c r="H14" s="38" t="n">
        <v>5</v>
      </c>
      <c r="I14" s="38" t="n">
        <v>5</v>
      </c>
      <c r="J14" s="38" t="n">
        <v>3</v>
      </c>
      <c r="K14" s="38" t="n">
        <v>5</v>
      </c>
      <c r="L14" s="38" t="n">
        <v>5</v>
      </c>
      <c r="M14" s="38" t="n">
        <v>7</v>
      </c>
      <c r="N14" s="38" t="n">
        <v>6</v>
      </c>
      <c r="O14" s="38" t="n">
        <v>5</v>
      </c>
      <c r="P14" s="38" t="n">
        <v>5</v>
      </c>
      <c r="Q14" s="38" t="n">
        <v>5</v>
      </c>
      <c r="R14" s="38" t="n">
        <v>8</v>
      </c>
      <c r="S14" s="38" t="n">
        <v>6</v>
      </c>
      <c r="T14" s="38" t="n">
        <v>4</v>
      </c>
      <c r="U14" s="38" t="n">
        <v>6</v>
      </c>
      <c r="V14" s="39" t="n">
        <f aca="false">IF(COUNT(D14:U14)=18,SUM(D14:U14),IF(W14="","",W14))</f>
        <v>100</v>
      </c>
      <c r="W14" s="20"/>
      <c r="X14" s="38" t="n">
        <v>15</v>
      </c>
      <c r="Y14" s="15" t="n">
        <f aca="false">IF(X14="","",MIN(X14,Supuestos!$F$5))</f>
        <v>15</v>
      </c>
      <c r="Z14" s="39" t="n">
        <f aca="false">IF(OR(V14="",Y14=""),"",V14-Y14)</f>
        <v>85</v>
      </c>
      <c r="AA14" s="15" t="n">
        <f aca="false">IF(Z14="","",COUNTIF($Z$6:$Z$19,"&lt;"&amp;Z14)+1)</f>
        <v>11</v>
      </c>
      <c r="AB14" s="15" t="n">
        <f aca="false">IF(Z14="","",COUNTIF($Z$6:$Z$19,Z14))</f>
        <v>2</v>
      </c>
      <c r="AC14" s="40" t="n">
        <f aca="false">IF(Z14="","",ROUND(SUMPRODUCT((Supuestos!$A$5:$A$28&gt;=AA14)*(Supuestos!$A$5:$A$28&lt;AA14+AB14)*Supuestos!$B$5:$B$28)/AB14*Supuestos!$F$6,0))</f>
        <v>20</v>
      </c>
      <c r="AD14" s="15" t="n">
        <f aca="false">IF(0=1,0,IFERROR(INDEX(Jugadores!$E$5:$E$21,MATCH(A14,Jugadores!$A$5:$A$21,0)),0))</f>
        <v>1</v>
      </c>
      <c r="AE14" s="31" t="n">
        <f aca="false">IF(OR(AC14="",AD14=0),0,AC14)</f>
        <v>20</v>
      </c>
      <c r="AF14" s="15" t="n">
        <f aca="false">IF(COUNT(D14:U14)&lt;18,"",SUMPRODUCT(--((D14:U14)-$D$4:$U$4&lt;=-2)))</f>
        <v>0</v>
      </c>
      <c r="AG14" s="15" t="n">
        <f aca="false">IF(COUNT(D14:U14)&lt;18,"",SUMPRODUCT(--((D14:U14)-$D$4:$U$4=-1)))</f>
        <v>0</v>
      </c>
      <c r="AH14" s="15" t="n">
        <f aca="false">IF(COUNT(D14:U14)&lt;18,"",SUMPRODUCT(--((D14:U14)-$D$4:$U$4=0)))</f>
        <v>2</v>
      </c>
      <c r="AI14" s="15" t="n">
        <f aca="false">IF(COUNT(D14:U14)&lt;18,"",SUMPRODUCT(--((D14:U14)-$D$4:$U$4=1)))</f>
        <v>9</v>
      </c>
      <c r="AJ14" s="15" t="n">
        <f aca="false">IF(COUNT(D14:U14)&lt;18,"",SUMPRODUCT(--((D14:U14)-$D$4:$U$4&gt;=2)))</f>
        <v>7</v>
      </c>
    </row>
    <row r="15" customFormat="false" ht="15" hidden="false" customHeight="false" outlineLevel="0" collapsed="false">
      <c r="A15" s="36" t="s">
        <v>76</v>
      </c>
      <c r="B15" s="37" t="s">
        <v>77</v>
      </c>
      <c r="C15" s="38" t="s">
        <v>69</v>
      </c>
      <c r="D15" s="38" t="n">
        <v>5</v>
      </c>
      <c r="E15" s="38" t="n">
        <v>3</v>
      </c>
      <c r="F15" s="38" t="n">
        <v>5</v>
      </c>
      <c r="G15" s="38" t="n">
        <v>7</v>
      </c>
      <c r="H15" s="38" t="n">
        <v>5</v>
      </c>
      <c r="I15" s="38" t="n">
        <v>6</v>
      </c>
      <c r="J15" s="38" t="n">
        <v>4</v>
      </c>
      <c r="K15" s="38" t="n">
        <v>5</v>
      </c>
      <c r="L15" s="38" t="n">
        <v>4</v>
      </c>
      <c r="M15" s="38" t="n">
        <v>6</v>
      </c>
      <c r="N15" s="38" t="n">
        <v>6</v>
      </c>
      <c r="O15" s="38" t="n">
        <v>4</v>
      </c>
      <c r="P15" s="38" t="n">
        <v>4</v>
      </c>
      <c r="Q15" s="38" t="n">
        <v>4</v>
      </c>
      <c r="R15" s="38" t="n">
        <v>6</v>
      </c>
      <c r="S15" s="38" t="n">
        <v>5</v>
      </c>
      <c r="T15" s="38" t="n">
        <v>4</v>
      </c>
      <c r="U15" s="38" t="n">
        <v>7</v>
      </c>
      <c r="V15" s="39" t="n">
        <f aca="false">IF(COUNT(D15:U15)=18,SUM(D15:U15),IF(W15="","",W15))</f>
        <v>90</v>
      </c>
      <c r="W15" s="20"/>
      <c r="X15" s="38" t="n">
        <v>16</v>
      </c>
      <c r="Y15" s="15" t="n">
        <f aca="false">IF(X15="","",MIN(X15,Supuestos!$F$5))</f>
        <v>16</v>
      </c>
      <c r="Z15" s="39" t="n">
        <f aca="false">IF(OR(V15="",Y15=""),"",V15-Y15)</f>
        <v>74</v>
      </c>
      <c r="AA15" s="15" t="n">
        <f aca="false">IF(Z15="","",COUNTIF($Z$6:$Z$19,"&lt;"&amp;Z15)+1)</f>
        <v>7</v>
      </c>
      <c r="AB15" s="15" t="n">
        <f aca="false">IF(Z15="","",COUNTIF($Z$6:$Z$19,Z15))</f>
        <v>1</v>
      </c>
      <c r="AC15" s="40" t="n">
        <f aca="false">IF(Z15="","",ROUND(SUMPRODUCT((Supuestos!$A$5:$A$28&gt;=AA15)*(Supuestos!$A$5:$A$28&lt;AA15+AB15)*Supuestos!$B$5:$B$28)/AB15*Supuestos!$F$6,0))</f>
        <v>90</v>
      </c>
      <c r="AD15" s="15" t="n">
        <f aca="false">IF(0=1,0,IFERROR(INDEX(Jugadores!$E$5:$E$21,MATCH(A15,Jugadores!$A$5:$A$21,0)),0))</f>
        <v>1</v>
      </c>
      <c r="AE15" s="31" t="n">
        <f aca="false">IF(OR(AC15="",AD15=0),0,AC15)</f>
        <v>90</v>
      </c>
      <c r="AF15" s="15" t="n">
        <f aca="false">IF(COUNT(D15:U15)&lt;18,"",SUMPRODUCT(--((D15:U15)-$D$4:$U$4&lt;=-2)))</f>
        <v>0</v>
      </c>
      <c r="AG15" s="15" t="n">
        <f aca="false">IF(COUNT(D15:U15)&lt;18,"",SUMPRODUCT(--((D15:U15)-$D$4:$U$4=-1)))</f>
        <v>0</v>
      </c>
      <c r="AH15" s="15" t="n">
        <f aca="false">IF(COUNT(D15:U15)&lt;18,"",SUMPRODUCT(--((D15:U15)-$D$4:$U$4=0)))</f>
        <v>5</v>
      </c>
      <c r="AI15" s="15" t="n">
        <f aca="false">IF(COUNT(D15:U15)&lt;18,"",SUMPRODUCT(--((D15:U15)-$D$4:$U$4=1)))</f>
        <v>8</v>
      </c>
      <c r="AJ15" s="15" t="n">
        <f aca="false">IF(COUNT(D15:U15)&lt;18,"",SUMPRODUCT(--((D15:U15)-$D$4:$U$4&gt;=2)))</f>
        <v>5</v>
      </c>
    </row>
    <row r="16" customFormat="false" ht="15" hidden="false" customHeight="false" outlineLevel="0" collapsed="false">
      <c r="A16" s="36" t="s">
        <v>78</v>
      </c>
      <c r="B16" s="37" t="s">
        <v>79</v>
      </c>
      <c r="C16" s="38" t="s">
        <v>69</v>
      </c>
      <c r="D16" s="38" t="n">
        <v>6</v>
      </c>
      <c r="E16" s="38" t="n">
        <v>5</v>
      </c>
      <c r="F16" s="38" t="n">
        <v>6</v>
      </c>
      <c r="G16" s="38" t="n">
        <v>6</v>
      </c>
      <c r="H16" s="38" t="n">
        <v>7</v>
      </c>
      <c r="I16" s="38" t="n">
        <v>4</v>
      </c>
      <c r="J16" s="38" t="n">
        <v>4</v>
      </c>
      <c r="K16" s="38" t="n">
        <v>4</v>
      </c>
      <c r="L16" s="38" t="n">
        <v>7</v>
      </c>
      <c r="M16" s="38" t="n">
        <v>6</v>
      </c>
      <c r="N16" s="38" t="n">
        <v>5</v>
      </c>
      <c r="O16" s="38" t="n">
        <v>5</v>
      </c>
      <c r="P16" s="38" t="n">
        <v>5</v>
      </c>
      <c r="Q16" s="38" t="n">
        <v>3</v>
      </c>
      <c r="R16" s="38" t="n">
        <v>4</v>
      </c>
      <c r="S16" s="38" t="n">
        <v>4</v>
      </c>
      <c r="T16" s="38" t="n">
        <v>6</v>
      </c>
      <c r="U16" s="38" t="n">
        <v>6</v>
      </c>
      <c r="V16" s="39" t="n">
        <f aca="false">IF(COUNT(D16:U16)=18,SUM(D16:U16),IF(W16="","",W16))</f>
        <v>93</v>
      </c>
      <c r="W16" s="20"/>
      <c r="X16" s="38" t="n">
        <v>17</v>
      </c>
      <c r="Y16" s="15" t="n">
        <f aca="false">IF(X16="","",MIN(X16,Supuestos!$F$5))</f>
        <v>17</v>
      </c>
      <c r="Z16" s="39" t="n">
        <f aca="false">IF(OR(V16="",Y16=""),"",V16-Y16)</f>
        <v>76</v>
      </c>
      <c r="AA16" s="15" t="n">
        <f aca="false">IF(Z16="","",COUNTIF($Z$6:$Z$19,"&lt;"&amp;Z16)+1)</f>
        <v>9</v>
      </c>
      <c r="AB16" s="15" t="n">
        <f aca="false">IF(Z16="","",COUNTIF($Z$6:$Z$19,Z16))</f>
        <v>1</v>
      </c>
      <c r="AC16" s="40" t="n">
        <f aca="false">IF(Z16="","",ROUND(SUMPRODUCT((Supuestos!$A$5:$A$28&gt;=AA16)*(Supuestos!$A$5:$A$28&lt;AA16+AB16)*Supuestos!$B$5:$B$28)/AB16*Supuestos!$F$6,0))</f>
        <v>75</v>
      </c>
      <c r="AD16" s="15" t="n">
        <f aca="false">IF(0=1,0,IFERROR(INDEX(Jugadores!$E$5:$E$21,MATCH(A16,Jugadores!$A$5:$A$21,0)),0))</f>
        <v>1</v>
      </c>
      <c r="AE16" s="31" t="n">
        <f aca="false">IF(OR(AC16="",AD16=0),0,AC16)</f>
        <v>75</v>
      </c>
      <c r="AF16" s="15" t="n">
        <f aca="false">IF(COUNT(D16:U16)&lt;18,"",SUMPRODUCT(--((D16:U16)-$D$4:$U$4&lt;=-2)))</f>
        <v>0</v>
      </c>
      <c r="AG16" s="15" t="n">
        <f aca="false">IF(COUNT(D16:U16)&lt;18,"",SUMPRODUCT(--((D16:U16)-$D$4:$U$4=-1)))</f>
        <v>0</v>
      </c>
      <c r="AH16" s="15" t="n">
        <f aca="false">IF(COUNT(D16:U16)&lt;18,"",SUMPRODUCT(--((D16:U16)-$D$4:$U$4=0)))</f>
        <v>6</v>
      </c>
      <c r="AI16" s="15" t="n">
        <f aca="false">IF(COUNT(D16:U16)&lt;18,"",SUMPRODUCT(--((D16:U16)-$D$4:$U$4=1)))</f>
        <v>6</v>
      </c>
      <c r="AJ16" s="15" t="n">
        <f aca="false">IF(COUNT(D16:U16)&lt;18,"",SUMPRODUCT(--((D16:U16)-$D$4:$U$4&gt;=2)))</f>
        <v>6</v>
      </c>
    </row>
    <row r="17" customFormat="false" ht="15" hidden="false" customHeight="false" outlineLevel="0" collapsed="false">
      <c r="A17" s="36" t="s">
        <v>82</v>
      </c>
      <c r="B17" s="37" t="s">
        <v>83</v>
      </c>
      <c r="C17" s="38" t="s">
        <v>69</v>
      </c>
      <c r="D17" s="38" t="n">
        <v>6</v>
      </c>
      <c r="E17" s="38" t="n">
        <v>4</v>
      </c>
      <c r="F17" s="38" t="n">
        <v>5</v>
      </c>
      <c r="G17" s="38" t="n">
        <v>6</v>
      </c>
      <c r="H17" s="38" t="n">
        <v>4</v>
      </c>
      <c r="I17" s="38" t="n">
        <v>5</v>
      </c>
      <c r="J17" s="38" t="n">
        <v>4</v>
      </c>
      <c r="K17" s="38" t="n">
        <v>5</v>
      </c>
      <c r="L17" s="38" t="n">
        <v>5</v>
      </c>
      <c r="M17" s="38" t="n">
        <v>4</v>
      </c>
      <c r="N17" s="38" t="n">
        <v>4</v>
      </c>
      <c r="O17" s="38" t="n">
        <v>5</v>
      </c>
      <c r="P17" s="38" t="n">
        <v>5</v>
      </c>
      <c r="Q17" s="38" t="n">
        <v>6</v>
      </c>
      <c r="R17" s="38" t="n">
        <v>6</v>
      </c>
      <c r="S17" s="38" t="n">
        <v>6</v>
      </c>
      <c r="T17" s="38" t="n">
        <v>4</v>
      </c>
      <c r="U17" s="38" t="n">
        <v>7</v>
      </c>
      <c r="V17" s="39" t="n">
        <f aca="false">IF(COUNT(D17:U17)=18,SUM(D17:U17),IF(W17="","",W17))</f>
        <v>91</v>
      </c>
      <c r="W17" s="20"/>
      <c r="X17" s="38" t="n">
        <v>21</v>
      </c>
      <c r="Y17" s="15" t="n">
        <f aca="false">IF(X17="","",MIN(X17,Supuestos!$F$5))</f>
        <v>21</v>
      </c>
      <c r="Z17" s="39" t="n">
        <f aca="false">IF(OR(V17="",Y17=""),"",V17-Y17)</f>
        <v>70</v>
      </c>
      <c r="AA17" s="15" t="n">
        <f aca="false">IF(Z17="","",COUNTIF($Z$6:$Z$19,"&lt;"&amp;Z17)+1)</f>
        <v>2</v>
      </c>
      <c r="AB17" s="15" t="n">
        <f aca="false">IF(Z17="","",COUNTIF($Z$6:$Z$19,Z17))</f>
        <v>2</v>
      </c>
      <c r="AC17" s="40" t="n">
        <f aca="false">IF(Z17="","",ROUND(SUMPRODUCT((Supuestos!$A$5:$A$28&gt;=AA17)*(Supuestos!$A$5:$A$28&lt;AA17+AB17)*Supuestos!$B$5:$B$28)/AB17*Supuestos!$F$6,0))</f>
        <v>250</v>
      </c>
      <c r="AD17" s="15" t="n">
        <f aca="false">IF(0=1,0,IFERROR(INDEX(Jugadores!$E$5:$E$21,MATCH(A17,Jugadores!$A$5:$A$21,0)),0))</f>
        <v>1</v>
      </c>
      <c r="AE17" s="31" t="n">
        <f aca="false">IF(OR(AC17="",AD17=0),0,AC17)</f>
        <v>250</v>
      </c>
      <c r="AF17" s="15" t="n">
        <f aca="false">IF(COUNT(D17:U17)&lt;18,"",SUMPRODUCT(--((D17:U17)-$D$4:$U$4&lt;=-2)))</f>
        <v>0</v>
      </c>
      <c r="AG17" s="15" t="n">
        <f aca="false">IF(COUNT(D17:U17)&lt;18,"",SUMPRODUCT(--((D17:U17)-$D$4:$U$4=-1)))</f>
        <v>1</v>
      </c>
      <c r="AH17" s="15" t="n">
        <f aca="false">IF(COUNT(D17:U17)&lt;18,"",SUMPRODUCT(--((D17:U17)-$D$4:$U$4=0)))</f>
        <v>2</v>
      </c>
      <c r="AI17" s="15" t="n">
        <f aca="false">IF(COUNT(D17:U17)&lt;18,"",SUMPRODUCT(--((D17:U17)-$D$4:$U$4=1)))</f>
        <v>11</v>
      </c>
      <c r="AJ17" s="15" t="n">
        <f aca="false">IF(COUNT(D17:U17)&lt;18,"",SUMPRODUCT(--((D17:U17)-$D$4:$U$4&gt;=2)))</f>
        <v>4</v>
      </c>
    </row>
    <row r="18" customFormat="false" ht="15" hidden="false" customHeight="false" outlineLevel="0" collapsed="false">
      <c r="A18" s="36" t="s">
        <v>84</v>
      </c>
      <c r="B18" s="37" t="s">
        <v>85</v>
      </c>
      <c r="C18" s="38" t="s">
        <v>69</v>
      </c>
      <c r="D18" s="38" t="n">
        <v>9</v>
      </c>
      <c r="E18" s="38" t="n">
        <v>4</v>
      </c>
      <c r="F18" s="38" t="n">
        <v>7</v>
      </c>
      <c r="G18" s="38" t="n">
        <v>9</v>
      </c>
      <c r="H18" s="38" t="n">
        <v>6</v>
      </c>
      <c r="I18" s="38" t="n">
        <v>6</v>
      </c>
      <c r="J18" s="38" t="n">
        <v>4</v>
      </c>
      <c r="K18" s="38" t="n">
        <v>4</v>
      </c>
      <c r="L18" s="38" t="n">
        <v>4</v>
      </c>
      <c r="M18" s="38" t="n">
        <v>7</v>
      </c>
      <c r="N18" s="38" t="n">
        <v>6</v>
      </c>
      <c r="O18" s="38" t="n">
        <v>7</v>
      </c>
      <c r="P18" s="38" t="n">
        <v>4</v>
      </c>
      <c r="Q18" s="38" t="n">
        <v>3</v>
      </c>
      <c r="R18" s="38" t="n">
        <v>9</v>
      </c>
      <c r="S18" s="38" t="n">
        <v>7</v>
      </c>
      <c r="T18" s="38" t="n">
        <v>3</v>
      </c>
      <c r="U18" s="38" t="n">
        <v>8</v>
      </c>
      <c r="V18" s="39" t="n">
        <f aca="false">IF(COUNT(D18:U18)=18,SUM(D18:U18),IF(W18="","",W18))</f>
        <v>107</v>
      </c>
      <c r="W18" s="20"/>
      <c r="X18" s="38" t="n">
        <v>18</v>
      </c>
      <c r="Y18" s="15" t="n">
        <f aca="false">IF(X18="","",MIN(X18,Supuestos!$F$5))</f>
        <v>18</v>
      </c>
      <c r="Z18" s="39" t="n">
        <f aca="false">IF(OR(V18="",Y18=""),"",V18-Y18)</f>
        <v>89</v>
      </c>
      <c r="AA18" s="15" t="n">
        <f aca="false">IF(Z18="","",COUNTIF($Z$6:$Z$19,"&lt;"&amp;Z18)+1)</f>
        <v>13</v>
      </c>
      <c r="AB18" s="15" t="n">
        <f aca="false">IF(Z18="","",COUNTIF($Z$6:$Z$19,Z18))</f>
        <v>1</v>
      </c>
      <c r="AC18" s="40" t="n">
        <f aca="false">IF(Z18="","",ROUND(SUMPRODUCT((Supuestos!$A$5:$A$28&gt;=AA18)*(Supuestos!$A$5:$A$28&lt;AA18+AB18)*Supuestos!$B$5:$B$28)/AB18*Supuestos!$F$6,0))</f>
        <v>20</v>
      </c>
      <c r="AD18" s="15" t="n">
        <f aca="false">IF(1=1,0,IFERROR(INDEX(Jugadores!$E$5:$E$21,MATCH(A18,Jugadores!$A$5:$A$21,0)),0))</f>
        <v>0</v>
      </c>
      <c r="AE18" s="31" t="n">
        <f aca="false">IF(OR(AC18="",AD18=0),0,AC18)</f>
        <v>0</v>
      </c>
      <c r="AF18" s="15" t="n">
        <f aca="false">IF(COUNT(D18:U18)&lt;18,"",SUMPRODUCT(--((D18:U18)-$D$4:$U$4&lt;=-2)))</f>
        <v>0</v>
      </c>
      <c r="AG18" s="15" t="n">
        <f aca="false">IF(COUNT(D18:U18)&lt;18,"",SUMPRODUCT(--((D18:U18)-$D$4:$U$4=-1)))</f>
        <v>0</v>
      </c>
      <c r="AH18" s="15" t="n">
        <f aca="false">IF(COUNT(D18:U18)&lt;18,"",SUMPRODUCT(--((D18:U18)-$D$4:$U$4=0)))</f>
        <v>5</v>
      </c>
      <c r="AI18" s="15" t="n">
        <f aca="false">IF(COUNT(D18:U18)&lt;18,"",SUMPRODUCT(--((D18:U18)-$D$4:$U$4=1)))</f>
        <v>3</v>
      </c>
      <c r="AJ18" s="15" t="n">
        <f aca="false">IF(COUNT(D18:U18)&lt;18,"",SUMPRODUCT(--((D18:U18)-$D$4:$U$4&gt;=2)))</f>
        <v>10</v>
      </c>
    </row>
    <row r="19" customFormat="false" ht="15" hidden="false" customHeight="false" outlineLevel="0" collapsed="false">
      <c r="A19" s="36" t="s">
        <v>165</v>
      </c>
      <c r="B19" s="37" t="s">
        <v>166</v>
      </c>
      <c r="C19" s="38"/>
      <c r="D19" s="38" t="n">
        <v>5</v>
      </c>
      <c r="E19" s="38" t="n">
        <v>4</v>
      </c>
      <c r="F19" s="38" t="n">
        <v>5</v>
      </c>
      <c r="G19" s="38" t="n">
        <v>8</v>
      </c>
      <c r="H19" s="38" t="n">
        <v>6</v>
      </c>
      <c r="I19" s="38" t="n">
        <v>5</v>
      </c>
      <c r="J19" s="38" t="n">
        <v>3</v>
      </c>
      <c r="K19" s="38" t="n">
        <v>4</v>
      </c>
      <c r="L19" s="38" t="n">
        <v>4</v>
      </c>
      <c r="M19" s="38" t="n">
        <v>5</v>
      </c>
      <c r="N19" s="38" t="n">
        <v>5</v>
      </c>
      <c r="O19" s="38" t="n">
        <v>5</v>
      </c>
      <c r="P19" s="38" t="n">
        <v>5</v>
      </c>
      <c r="Q19" s="38" t="n">
        <v>3</v>
      </c>
      <c r="R19" s="38" t="n">
        <v>4</v>
      </c>
      <c r="S19" s="38" t="n">
        <v>4</v>
      </c>
      <c r="T19" s="38" t="n">
        <v>4</v>
      </c>
      <c r="U19" s="38" t="n">
        <v>4</v>
      </c>
      <c r="V19" s="39" t="n">
        <f aca="false">IF(COUNT(D19:U19)=18,SUM(D19:U19),IF(W19="","",W19))</f>
        <v>83</v>
      </c>
      <c r="W19" s="20"/>
      <c r="X19" s="20"/>
      <c r="Y19" s="15" t="str">
        <f aca="false">IF(X19="","",MIN(X19,Supuestos!$F$5))</f>
        <v/>
      </c>
      <c r="Z19" s="39" t="str">
        <f aca="false">IF(OR(V19="",Y19=""),"",V19-Y19)</f>
        <v/>
      </c>
      <c r="AA19" s="15" t="str">
        <f aca="false">IF(Z19="","",COUNTIF($Z$6:$Z$19,"&lt;"&amp;Z19)+1)</f>
        <v/>
      </c>
      <c r="AB19" s="15" t="str">
        <f aca="false">IF(Z19="","",COUNTIF($Z$6:$Z$19,Z19))</f>
        <v/>
      </c>
      <c r="AC19" s="40" t="str">
        <f aca="false">IF(Z19="","",ROUND(SUMPRODUCT((Supuestos!$A$5:$A$28&gt;=AA19)*(Supuestos!$A$5:$A$28&lt;AA19+AB19)*Supuestos!$B$5:$B$28)/AB19*Supuestos!$F$6,0))</f>
        <v/>
      </c>
      <c r="AD19" s="15" t="n">
        <f aca="false">IF(0=1,0,IFERROR(INDEX(Jugadores!$E$5:$E$21,MATCH(A19,Jugadores!$A$5:$A$21,0)),0))</f>
        <v>0</v>
      </c>
      <c r="AE19" s="31" t="n">
        <f aca="false">IF(OR(AC19="",AD19=0),0,AC19)</f>
        <v>0</v>
      </c>
      <c r="AF19" s="15" t="n">
        <f aca="false">IF(COUNT(D19:U19)&lt;18,"",SUMPRODUCT(--((D19:U19)-$D$4:$U$4&lt;=-2)))</f>
        <v>0</v>
      </c>
      <c r="AG19" s="15" t="n">
        <f aca="false">IF(COUNT(D19:U19)&lt;18,"",SUMPRODUCT(--((D19:U19)-$D$4:$U$4=-1)))</f>
        <v>1</v>
      </c>
      <c r="AH19" s="15" t="n">
        <f aca="false">IF(COUNT(D19:U19)&lt;18,"",SUMPRODUCT(--((D19:U19)-$D$4:$U$4=0)))</f>
        <v>8</v>
      </c>
      <c r="AI19" s="15" t="n">
        <f aca="false">IF(COUNT(D19:U19)&lt;18,"",SUMPRODUCT(--((D19:U19)-$D$4:$U$4=1)))</f>
        <v>7</v>
      </c>
      <c r="AJ19" s="15" t="n">
        <f aca="false">IF(COUNT(D19:U19)&lt;18,"",SUMPRODUCT(--((D19:U19)-$D$4:$U$4&gt;=2)))</f>
        <v>2</v>
      </c>
    </row>
    <row r="21" customFormat="false" ht="15" hidden="false" customHeight="false" outlineLevel="0" collapsed="false">
      <c r="B21" s="3" t="s">
        <v>152</v>
      </c>
    </row>
    <row r="22" customFormat="false" ht="15" hidden="false" customHeight="false" outlineLevel="0" collapsed="false">
      <c r="B22" s="4" t="s">
        <v>153</v>
      </c>
      <c r="C22" s="21" t="n">
        <f aca="false">COUNT(V6:V19)</f>
        <v>14</v>
      </c>
    </row>
    <row r="23" customFormat="false" ht="15" hidden="false" customHeight="false" outlineLevel="0" collapsed="false">
      <c r="B23" s="4" t="s">
        <v>154</v>
      </c>
      <c r="C23" s="42" t="n">
        <f aca="false">IFERROR(AVERAGE(V6:V19),"")</f>
        <v>91.7857142857143</v>
      </c>
    </row>
    <row r="24" customFormat="false" ht="15" hidden="false" customHeight="false" outlineLevel="0" collapsed="false">
      <c r="B24" s="4" t="s">
        <v>155</v>
      </c>
      <c r="C24" s="42" t="n">
        <f aca="false">IFERROR(AVERAGE(Z6:Z19),"")</f>
        <v>75.8461538461538</v>
      </c>
    </row>
    <row r="25" customFormat="false" ht="15" hidden="false" customHeight="false" outlineLevel="0" collapsed="false">
      <c r="B25" s="4" t="s">
        <v>156</v>
      </c>
      <c r="C25" s="21" t="n">
        <f aca="false">IFERROR(MIN(Z6:Z19),"")</f>
        <v>66</v>
      </c>
    </row>
    <row r="26" customFormat="false" ht="15" hidden="false" customHeight="false" outlineLevel="0" collapsed="false">
      <c r="B26" s="4" t="s">
        <v>157</v>
      </c>
      <c r="C26" s="21" t="n">
        <f aca="false">IFERROR(MIN(V6:V19),"")</f>
        <v>75</v>
      </c>
    </row>
    <row r="27" customFormat="false" ht="15" hidden="false" customHeight="false" outlineLevel="0" collapsed="false">
      <c r="B27" s="4" t="s">
        <v>158</v>
      </c>
      <c r="C27" s="21" t="n">
        <f aca="false">SUM(AF6:AF19)</f>
        <v>0</v>
      </c>
    </row>
    <row r="28" customFormat="false" ht="15" hidden="false" customHeight="false" outlineLevel="0" collapsed="false">
      <c r="B28" s="4" t="s">
        <v>159</v>
      </c>
      <c r="C28" s="21" t="n">
        <f aca="false">SUM(AG6:AG19)</f>
        <v>11</v>
      </c>
    </row>
    <row r="29" customFormat="false" ht="15" hidden="false" customHeight="false" outlineLevel="0" collapsed="false">
      <c r="B29" s="4" t="s">
        <v>160</v>
      </c>
      <c r="C29" s="21" t="n">
        <f aca="false">SUM(AH6:AH19)</f>
        <v>71</v>
      </c>
    </row>
    <row r="30" customFormat="false" ht="15" hidden="false" customHeight="false" outlineLevel="0" collapsed="false">
      <c r="B30" s="4" t="s">
        <v>161</v>
      </c>
      <c r="C30" s="21" t="n">
        <f aca="false">SUM(AI6:AI19)</f>
        <v>90</v>
      </c>
    </row>
    <row r="31" customFormat="false" ht="15" hidden="false" customHeight="false" outlineLevel="0" collapsed="false">
      <c r="B31" s="4" t="s">
        <v>162</v>
      </c>
      <c r="C31" s="21" t="n">
        <f aca="false">SUM(AJ6:AJ19)</f>
        <v>80</v>
      </c>
    </row>
  </sheetData>
  <conditionalFormatting sqref="D6:U19">
    <cfRule type="expression" priority="2" aboveAverage="0" equalAverage="0" bottom="0" percent="0" rank="0" text="" dxfId="0">
      <formula>AND(ISNUMBER(D6),D6-D$4&lt;=-2)</formula>
    </cfRule>
    <cfRule type="expression" priority="3" aboveAverage="0" equalAverage="0" bottom="0" percent="0" rank="0" text="" dxfId="1">
      <formula>AND(ISNUMBER(D6),D6-D$4=-1)</formula>
    </cfRule>
    <cfRule type="expression" priority="4" aboveAverage="0" equalAverage="0" bottom="0" percent="0" rank="0" text="" dxfId="2">
      <formula>AND(ISNUMBER(D6),D6-D$4=1)</formula>
    </cfRule>
    <cfRule type="expression" priority="5" aboveAverage="0" equalAverage="0" bottom="0" percent="0" rank="0" text="" dxfId="3">
      <formula>AND(ISNUMBER(D6),D6-D$4&gt;=2)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21" min="4" style="0" width="4.2"/>
    <col collapsed="false" customWidth="true" hidden="false" outlineLevel="0" max="22" min="22" style="0" width="7"/>
    <col collapsed="false" customWidth="true" hidden="false" outlineLevel="0" max="23" min="23" style="0" width="8"/>
    <col collapsed="false" customWidth="true" hidden="false" outlineLevel="0" max="26" min="24" style="0" width="7"/>
    <col collapsed="false" customWidth="true" hidden="false" outlineLevel="0" max="28" min="27" style="0" width="6"/>
    <col collapsed="false" customWidth="true" hidden="false" outlineLevel="0" max="29" min="29" style="0" width="8"/>
    <col collapsed="false" customWidth="true" hidden="false" outlineLevel="0" max="30" min="30" style="0" width="7"/>
    <col collapsed="false" customWidth="true" hidden="false" outlineLevel="0" max="31" min="31" style="0" width="8"/>
    <col collapsed="false" customWidth="true" hidden="false" outlineLevel="0" max="36" min="32" style="0" width="6"/>
  </cols>
  <sheetData>
    <row r="1" customFormat="false" ht="17.3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2" t="s">
        <v>168</v>
      </c>
    </row>
    <row r="4" customFormat="false" ht="15" hidden="false" customHeight="false" outlineLevel="0" collapsed="false">
      <c r="B4" s="33" t="s">
        <v>119</v>
      </c>
      <c r="D4" s="34" t="n">
        <v>5</v>
      </c>
      <c r="E4" s="34" t="n">
        <v>5</v>
      </c>
      <c r="F4" s="34" t="n">
        <v>4</v>
      </c>
      <c r="G4" s="34" t="n">
        <v>4</v>
      </c>
      <c r="H4" s="34" t="n">
        <v>3</v>
      </c>
      <c r="I4" s="34" t="n">
        <v>4</v>
      </c>
      <c r="J4" s="34" t="n">
        <v>5</v>
      </c>
      <c r="K4" s="34" t="n">
        <v>3</v>
      </c>
      <c r="L4" s="34" t="n">
        <v>4</v>
      </c>
      <c r="M4" s="34" t="n">
        <v>4</v>
      </c>
      <c r="N4" s="34" t="n">
        <v>3</v>
      </c>
      <c r="O4" s="34" t="n">
        <v>5</v>
      </c>
      <c r="P4" s="34" t="n">
        <v>3</v>
      </c>
      <c r="Q4" s="34" t="n">
        <v>5</v>
      </c>
      <c r="R4" s="34" t="n">
        <v>3</v>
      </c>
      <c r="S4" s="34" t="n">
        <v>4</v>
      </c>
      <c r="T4" s="34" t="n">
        <v>4</v>
      </c>
      <c r="U4" s="34" t="n">
        <v>4</v>
      </c>
      <c r="V4" s="35" t="n">
        <f aca="false">SUM(D4:U4)</f>
        <v>72</v>
      </c>
    </row>
    <row r="5" customFormat="false" ht="15" hidden="false" customHeight="false" outlineLevel="0" collapsed="false">
      <c r="A5" s="8" t="s">
        <v>35</v>
      </c>
      <c r="B5" s="8" t="s">
        <v>9</v>
      </c>
      <c r="C5" s="8" t="s">
        <v>36</v>
      </c>
      <c r="D5" s="8" t="s">
        <v>120</v>
      </c>
      <c r="E5" s="8" t="s">
        <v>121</v>
      </c>
      <c r="F5" s="8" t="s">
        <v>122</v>
      </c>
      <c r="G5" s="8" t="s">
        <v>123</v>
      </c>
      <c r="H5" s="8" t="s">
        <v>124</v>
      </c>
      <c r="I5" s="8" t="s">
        <v>125</v>
      </c>
      <c r="J5" s="8" t="s">
        <v>126</v>
      </c>
      <c r="K5" s="8" t="s">
        <v>127</v>
      </c>
      <c r="L5" s="8" t="s">
        <v>128</v>
      </c>
      <c r="M5" s="8" t="s">
        <v>129</v>
      </c>
      <c r="N5" s="8" t="s">
        <v>130</v>
      </c>
      <c r="O5" s="8" t="s">
        <v>131</v>
      </c>
      <c r="P5" s="8" t="s">
        <v>132</v>
      </c>
      <c r="Q5" s="8" t="s">
        <v>133</v>
      </c>
      <c r="R5" s="8" t="s">
        <v>134</v>
      </c>
      <c r="S5" s="8" t="s">
        <v>135</v>
      </c>
      <c r="T5" s="8" t="s">
        <v>136</v>
      </c>
      <c r="U5" s="8" t="s">
        <v>137</v>
      </c>
      <c r="V5" s="8" t="s">
        <v>138</v>
      </c>
      <c r="W5" s="8" t="s">
        <v>139</v>
      </c>
      <c r="X5" s="8" t="s">
        <v>140</v>
      </c>
      <c r="Y5" s="8" t="s">
        <v>141</v>
      </c>
      <c r="Z5" s="8" t="s">
        <v>142</v>
      </c>
      <c r="AA5" s="8" t="s">
        <v>143</v>
      </c>
      <c r="AB5" s="8" t="s">
        <v>144</v>
      </c>
      <c r="AC5" s="8" t="s">
        <v>10</v>
      </c>
      <c r="AD5" s="8" t="s">
        <v>145</v>
      </c>
      <c r="AE5" s="8" t="s">
        <v>146</v>
      </c>
      <c r="AF5" s="8" t="s">
        <v>147</v>
      </c>
      <c r="AG5" s="8" t="s">
        <v>148</v>
      </c>
      <c r="AH5" s="8" t="s">
        <v>149</v>
      </c>
      <c r="AI5" s="8" t="s">
        <v>150</v>
      </c>
      <c r="AJ5" s="8" t="s">
        <v>151</v>
      </c>
    </row>
    <row r="6" customFormat="false" ht="15" hidden="false" customHeight="false" outlineLevel="0" collapsed="false">
      <c r="A6" s="36" t="s">
        <v>53</v>
      </c>
      <c r="B6" s="37" t="s">
        <v>54</v>
      </c>
      <c r="C6" s="38" t="s">
        <v>52</v>
      </c>
      <c r="D6" s="38" t="n">
        <v>5</v>
      </c>
      <c r="E6" s="38" t="n">
        <v>7</v>
      </c>
      <c r="F6" s="38" t="n">
        <v>5</v>
      </c>
      <c r="G6" s="38" t="n">
        <v>4</v>
      </c>
      <c r="H6" s="38" t="n">
        <v>4</v>
      </c>
      <c r="I6" s="38" t="n">
        <v>6</v>
      </c>
      <c r="J6" s="38" t="n">
        <v>7</v>
      </c>
      <c r="K6" s="38" t="n">
        <v>3</v>
      </c>
      <c r="L6" s="38" t="n">
        <v>5</v>
      </c>
      <c r="M6" s="38" t="n">
        <v>4</v>
      </c>
      <c r="N6" s="38" t="n">
        <v>3</v>
      </c>
      <c r="O6" s="38" t="n">
        <v>6</v>
      </c>
      <c r="P6" s="38" t="n">
        <v>4</v>
      </c>
      <c r="Q6" s="38" t="n">
        <v>5</v>
      </c>
      <c r="R6" s="38" t="n">
        <v>2</v>
      </c>
      <c r="S6" s="38" t="n">
        <v>6</v>
      </c>
      <c r="T6" s="38" t="n">
        <v>5</v>
      </c>
      <c r="U6" s="38" t="n">
        <v>5</v>
      </c>
      <c r="V6" s="39" t="n">
        <f aca="false">IF(COUNT(D6:U6)=18,SUM(D6:U6),IF(W6="","",W6))</f>
        <v>86</v>
      </c>
      <c r="W6" s="20"/>
      <c r="X6" s="38" t="n">
        <v>10</v>
      </c>
      <c r="Y6" s="15" t="n">
        <f aca="false">IF(X6="","",MIN(X6,Supuestos!$F$5))</f>
        <v>10</v>
      </c>
      <c r="Z6" s="39" t="n">
        <f aca="false">IF(OR(V6="",Y6=""),"",V6-Y6)</f>
        <v>76</v>
      </c>
      <c r="AA6" s="15" t="n">
        <f aca="false">IF(Z6="","",COUNTIF($Z$6:$Z$20,"&lt;"&amp;Z6)+1)</f>
        <v>2</v>
      </c>
      <c r="AB6" s="15" t="n">
        <f aca="false">IF(Z6="","",COUNTIF($Z$6:$Z$20,Z6))</f>
        <v>1</v>
      </c>
      <c r="AC6" s="40" t="n">
        <f aca="false">IF(Z6="","",ROUND(SUMPRODUCT((Supuestos!$A$5:$A$28&gt;=AA6)*(Supuestos!$A$5:$A$28&lt;AA6+AB6)*Supuestos!$B$5:$B$28)/AB6*Supuestos!$F$6,0))</f>
        <v>300</v>
      </c>
      <c r="AD6" s="15" t="n">
        <f aca="false">IF(0=1,0,IFERROR(INDEX(Jugadores!$E$5:$E$21,MATCH(A6,Jugadores!$A$5:$A$21,0)),0))</f>
        <v>1</v>
      </c>
      <c r="AE6" s="31" t="n">
        <f aca="false">IF(OR(AC6="",AD6=0),0,AC6)</f>
        <v>300</v>
      </c>
      <c r="AF6" s="15" t="n">
        <f aca="false">IF(COUNT(D6:U6)&lt;18,"",SUMPRODUCT(--((D6:U6)-$D$4:$U$4&lt;=-2)))</f>
        <v>0</v>
      </c>
      <c r="AG6" s="15" t="n">
        <f aca="false">IF(COUNT(D6:U6)&lt;18,"",SUMPRODUCT(--((D6:U6)-$D$4:$U$4=-1)))</f>
        <v>1</v>
      </c>
      <c r="AH6" s="15" t="n">
        <f aca="false">IF(COUNT(D6:U6)&lt;18,"",SUMPRODUCT(--((D6:U6)-$D$4:$U$4=0)))</f>
        <v>6</v>
      </c>
      <c r="AI6" s="15" t="n">
        <f aca="false">IF(COUNT(D6:U6)&lt;18,"",SUMPRODUCT(--((D6:U6)-$D$4:$U$4=1)))</f>
        <v>7</v>
      </c>
      <c r="AJ6" s="15" t="n">
        <f aca="false">IF(COUNT(D6:U6)&lt;18,"",SUMPRODUCT(--((D6:U6)-$D$4:$U$4&gt;=2)))</f>
        <v>4</v>
      </c>
    </row>
    <row r="7" customFormat="false" ht="15" hidden="false" customHeight="false" outlineLevel="0" collapsed="false">
      <c r="A7" s="36" t="s">
        <v>57</v>
      </c>
      <c r="B7" s="37" t="s">
        <v>58</v>
      </c>
      <c r="C7" s="38" t="s">
        <v>52</v>
      </c>
      <c r="D7" s="38" t="n">
        <v>5</v>
      </c>
      <c r="E7" s="38" t="n">
        <v>6</v>
      </c>
      <c r="F7" s="38" t="n">
        <v>5</v>
      </c>
      <c r="G7" s="38" t="n">
        <v>4</v>
      </c>
      <c r="H7" s="38" t="n">
        <v>4</v>
      </c>
      <c r="I7" s="38" t="n">
        <v>5</v>
      </c>
      <c r="J7" s="38" t="n">
        <v>6</v>
      </c>
      <c r="K7" s="38" t="n">
        <v>4</v>
      </c>
      <c r="L7" s="38" t="n">
        <v>5</v>
      </c>
      <c r="M7" s="38" t="n">
        <v>5</v>
      </c>
      <c r="N7" s="38" t="n">
        <v>3</v>
      </c>
      <c r="O7" s="38" t="n">
        <v>6</v>
      </c>
      <c r="P7" s="38" t="n">
        <v>6</v>
      </c>
      <c r="Q7" s="38" t="n">
        <v>5</v>
      </c>
      <c r="R7" s="38" t="n">
        <v>4</v>
      </c>
      <c r="S7" s="38" t="n">
        <v>6</v>
      </c>
      <c r="T7" s="38" t="n">
        <v>6</v>
      </c>
      <c r="U7" s="38" t="n">
        <v>6</v>
      </c>
      <c r="V7" s="39" t="n">
        <f aca="false">IF(COUNT(D7:U7)=18,SUM(D7:U7),IF(W7="","",W7))</f>
        <v>91</v>
      </c>
      <c r="W7" s="20"/>
      <c r="X7" s="38" t="n">
        <v>13</v>
      </c>
      <c r="Y7" s="15" t="n">
        <f aca="false">IF(X7="","",MIN(X7,Supuestos!$F$5))</f>
        <v>13</v>
      </c>
      <c r="Z7" s="39" t="n">
        <f aca="false">IF(OR(V7="",Y7=""),"",V7-Y7)</f>
        <v>78</v>
      </c>
      <c r="AA7" s="15" t="n">
        <f aca="false">IF(Z7="","",COUNTIF($Z$6:$Z$20,"&lt;"&amp;Z7)+1)</f>
        <v>4</v>
      </c>
      <c r="AB7" s="15" t="n">
        <f aca="false">IF(Z7="","",COUNTIF($Z$6:$Z$20,Z7))</f>
        <v>3</v>
      </c>
      <c r="AC7" s="40" t="n">
        <f aca="false">IF(Z7="","",ROUND(SUMPRODUCT((Supuestos!$A$5:$A$28&gt;=AA7)*(Supuestos!$A$5:$A$28&lt;AA7+AB7)*Supuestos!$B$5:$B$28)/AB7*Supuestos!$F$6,0))</f>
        <v>123</v>
      </c>
      <c r="AD7" s="15" t="n">
        <f aca="false">IF(0=1,0,IFERROR(INDEX(Jugadores!$E$5:$E$21,MATCH(A7,Jugadores!$A$5:$A$21,0)),0))</f>
        <v>1</v>
      </c>
      <c r="AE7" s="31" t="n">
        <f aca="false">IF(OR(AC7="",AD7=0),0,AC7)</f>
        <v>123</v>
      </c>
      <c r="AF7" s="15" t="n">
        <f aca="false">IF(COUNT(D7:U7)&lt;18,"",SUMPRODUCT(--((D7:U7)-$D$4:$U$4&lt;=-2)))</f>
        <v>0</v>
      </c>
      <c r="AG7" s="15" t="n">
        <f aca="false">IF(COUNT(D7:U7)&lt;18,"",SUMPRODUCT(--((D7:U7)-$D$4:$U$4=-1)))</f>
        <v>0</v>
      </c>
      <c r="AH7" s="15" t="n">
        <f aca="false">IF(COUNT(D7:U7)&lt;18,"",SUMPRODUCT(--((D7:U7)-$D$4:$U$4=0)))</f>
        <v>4</v>
      </c>
      <c r="AI7" s="15" t="n">
        <f aca="false">IF(COUNT(D7:U7)&lt;18,"",SUMPRODUCT(--((D7:U7)-$D$4:$U$4=1)))</f>
        <v>10</v>
      </c>
      <c r="AJ7" s="15" t="n">
        <f aca="false">IF(COUNT(D7:U7)&lt;18,"",SUMPRODUCT(--((D7:U7)-$D$4:$U$4&gt;=2)))</f>
        <v>4</v>
      </c>
    </row>
    <row r="8" customFormat="false" ht="15" hidden="false" customHeight="false" outlineLevel="0" collapsed="false">
      <c r="A8" s="36" t="s">
        <v>59</v>
      </c>
      <c r="B8" s="37" t="s">
        <v>60</v>
      </c>
      <c r="C8" s="38" t="s">
        <v>52</v>
      </c>
      <c r="D8" s="38" t="n">
        <v>5</v>
      </c>
      <c r="E8" s="38" t="n">
        <v>8</v>
      </c>
      <c r="F8" s="38" t="n">
        <v>6</v>
      </c>
      <c r="G8" s="38" t="n">
        <v>5</v>
      </c>
      <c r="H8" s="38" t="n">
        <v>3</v>
      </c>
      <c r="I8" s="38" t="n">
        <v>5</v>
      </c>
      <c r="J8" s="38" t="n">
        <v>6</v>
      </c>
      <c r="K8" s="38" t="n">
        <v>3</v>
      </c>
      <c r="L8" s="38" t="n">
        <v>5</v>
      </c>
      <c r="M8" s="38" t="n">
        <v>4</v>
      </c>
      <c r="N8" s="38" t="n">
        <v>4</v>
      </c>
      <c r="O8" s="38" t="n">
        <v>6</v>
      </c>
      <c r="P8" s="38" t="n">
        <v>7</v>
      </c>
      <c r="Q8" s="38" t="n">
        <v>6</v>
      </c>
      <c r="R8" s="38" t="n">
        <v>4</v>
      </c>
      <c r="S8" s="38" t="n">
        <v>6</v>
      </c>
      <c r="T8" s="38" t="n">
        <v>6</v>
      </c>
      <c r="U8" s="38" t="n">
        <v>5</v>
      </c>
      <c r="V8" s="39" t="n">
        <f aca="false">IF(COUNT(D8:U8)=18,SUM(D8:U8),IF(W8="","",W8))</f>
        <v>94</v>
      </c>
      <c r="W8" s="20"/>
      <c r="X8" s="38" t="n">
        <v>17</v>
      </c>
      <c r="Y8" s="15" t="n">
        <f aca="false">IF(X8="","",MIN(X8,Supuestos!$F$5))</f>
        <v>17</v>
      </c>
      <c r="Z8" s="39" t="n">
        <f aca="false">IF(OR(V8="",Y8=""),"",V8-Y8)</f>
        <v>77</v>
      </c>
      <c r="AA8" s="15" t="n">
        <f aca="false">IF(Z8="","",COUNTIF($Z$6:$Z$20,"&lt;"&amp;Z8)+1)</f>
        <v>3</v>
      </c>
      <c r="AB8" s="15" t="n">
        <f aca="false">IF(Z8="","",COUNTIF($Z$6:$Z$20,Z8))</f>
        <v>1</v>
      </c>
      <c r="AC8" s="40" t="n">
        <f aca="false">IF(Z8="","",ROUND(SUMPRODUCT((Supuestos!$A$5:$A$28&gt;=AA8)*(Supuestos!$A$5:$A$28&lt;AA8+AB8)*Supuestos!$B$5:$B$28)/AB8*Supuestos!$F$6,0))</f>
        <v>200</v>
      </c>
      <c r="AD8" s="15" t="n">
        <f aca="false">IF(0=1,0,IFERROR(INDEX(Jugadores!$E$5:$E$21,MATCH(A8,Jugadores!$A$5:$A$21,0)),0))</f>
        <v>1</v>
      </c>
      <c r="AE8" s="31" t="n">
        <f aca="false">IF(OR(AC8="",AD8=0),0,AC8)</f>
        <v>200</v>
      </c>
      <c r="AF8" s="15" t="n">
        <f aca="false">IF(COUNT(D8:U8)&lt;18,"",SUMPRODUCT(--((D8:U8)-$D$4:$U$4&lt;=-2)))</f>
        <v>0</v>
      </c>
      <c r="AG8" s="15" t="n">
        <f aca="false">IF(COUNT(D8:U8)&lt;18,"",SUMPRODUCT(--((D8:U8)-$D$4:$U$4=-1)))</f>
        <v>0</v>
      </c>
      <c r="AH8" s="15" t="n">
        <f aca="false">IF(COUNT(D8:U8)&lt;18,"",SUMPRODUCT(--((D8:U8)-$D$4:$U$4=0)))</f>
        <v>4</v>
      </c>
      <c r="AI8" s="15" t="n">
        <f aca="false">IF(COUNT(D8:U8)&lt;18,"",SUMPRODUCT(--((D8:U8)-$D$4:$U$4=1)))</f>
        <v>9</v>
      </c>
      <c r="AJ8" s="15" t="n">
        <f aca="false">IF(COUNT(D8:U8)&lt;18,"",SUMPRODUCT(--((D8:U8)-$D$4:$U$4&gt;=2)))</f>
        <v>5</v>
      </c>
    </row>
    <row r="9" customFormat="false" ht="15" hidden="false" customHeight="false" outlineLevel="0" collapsed="false">
      <c r="A9" s="36" t="s">
        <v>61</v>
      </c>
      <c r="B9" s="37" t="s">
        <v>62</v>
      </c>
      <c r="C9" s="38" t="s">
        <v>52</v>
      </c>
      <c r="D9" s="38" t="n">
        <v>5</v>
      </c>
      <c r="E9" s="38" t="n">
        <v>6</v>
      </c>
      <c r="F9" s="38" t="n">
        <v>7</v>
      </c>
      <c r="G9" s="38" t="n">
        <v>5</v>
      </c>
      <c r="H9" s="38" t="n">
        <v>3</v>
      </c>
      <c r="I9" s="38" t="n">
        <v>5</v>
      </c>
      <c r="J9" s="38" t="n">
        <v>8</v>
      </c>
      <c r="K9" s="38" t="n">
        <v>4</v>
      </c>
      <c r="L9" s="38" t="n">
        <v>6</v>
      </c>
      <c r="M9" s="38" t="n">
        <v>5</v>
      </c>
      <c r="N9" s="38" t="n">
        <v>2</v>
      </c>
      <c r="O9" s="38" t="n">
        <v>6</v>
      </c>
      <c r="P9" s="38" t="n">
        <v>5</v>
      </c>
      <c r="Q9" s="38" t="n">
        <v>7</v>
      </c>
      <c r="R9" s="38" t="n">
        <v>5</v>
      </c>
      <c r="S9" s="38" t="n">
        <v>6</v>
      </c>
      <c r="T9" s="38" t="n">
        <v>8</v>
      </c>
      <c r="U9" s="38" t="n">
        <v>6</v>
      </c>
      <c r="V9" s="39" t="n">
        <f aca="false">IF(COUNT(D9:U9)=18,SUM(D9:U9),IF(W9="","",W9))</f>
        <v>99</v>
      </c>
      <c r="W9" s="20"/>
      <c r="X9" s="38" t="n">
        <v>21</v>
      </c>
      <c r="Y9" s="15" t="n">
        <f aca="false">IF(X9="","",MIN(X9,Supuestos!$F$5))</f>
        <v>21</v>
      </c>
      <c r="Z9" s="39" t="n">
        <f aca="false">IF(OR(V9="",Y9=""),"",V9-Y9)</f>
        <v>78</v>
      </c>
      <c r="AA9" s="15" t="n">
        <f aca="false">IF(Z9="","",COUNTIF($Z$6:$Z$20,"&lt;"&amp;Z9)+1)</f>
        <v>4</v>
      </c>
      <c r="AB9" s="15" t="n">
        <f aca="false">IF(Z9="","",COUNTIF($Z$6:$Z$20,Z9))</f>
        <v>3</v>
      </c>
      <c r="AC9" s="40" t="n">
        <f aca="false">IF(Z9="","",ROUND(SUMPRODUCT((Supuestos!$A$5:$A$28&gt;=AA9)*(Supuestos!$A$5:$A$28&lt;AA9+AB9)*Supuestos!$B$5:$B$28)/AB9*Supuestos!$F$6,0))</f>
        <v>123</v>
      </c>
      <c r="AD9" s="15" t="n">
        <f aca="false">IF(0=1,0,IFERROR(INDEX(Jugadores!$E$5:$E$21,MATCH(A9,Jugadores!$A$5:$A$21,0)),0))</f>
        <v>1</v>
      </c>
      <c r="AE9" s="31" t="n">
        <f aca="false">IF(OR(AC9="",AD9=0),0,AC9)</f>
        <v>123</v>
      </c>
      <c r="AF9" s="15" t="n">
        <f aca="false">IF(COUNT(D9:U9)&lt;18,"",SUMPRODUCT(--((D9:U9)-$D$4:$U$4&lt;=-2)))</f>
        <v>0</v>
      </c>
      <c r="AG9" s="15" t="n">
        <f aca="false">IF(COUNT(D9:U9)&lt;18,"",SUMPRODUCT(--((D9:U9)-$D$4:$U$4=-1)))</f>
        <v>1</v>
      </c>
      <c r="AH9" s="15" t="n">
        <f aca="false">IF(COUNT(D9:U9)&lt;18,"",SUMPRODUCT(--((D9:U9)-$D$4:$U$4=0)))</f>
        <v>2</v>
      </c>
      <c r="AI9" s="15" t="n">
        <f aca="false">IF(COUNT(D9:U9)&lt;18,"",SUMPRODUCT(--((D9:U9)-$D$4:$U$4=1)))</f>
        <v>6</v>
      </c>
      <c r="AJ9" s="15" t="n">
        <f aca="false">IF(COUNT(D9:U9)&lt;18,"",SUMPRODUCT(--((D9:U9)-$D$4:$U$4&gt;=2)))</f>
        <v>9</v>
      </c>
    </row>
    <row r="10" customFormat="false" ht="15" hidden="false" customHeight="false" outlineLevel="0" collapsed="false">
      <c r="A10" s="36" t="s">
        <v>63</v>
      </c>
      <c r="B10" s="37" t="s">
        <v>64</v>
      </c>
      <c r="C10" s="38" t="s">
        <v>52</v>
      </c>
      <c r="D10" s="38" t="n">
        <v>7</v>
      </c>
      <c r="E10" s="38" t="n">
        <v>6</v>
      </c>
      <c r="F10" s="38" t="n">
        <v>6</v>
      </c>
      <c r="G10" s="38" t="n">
        <v>5</v>
      </c>
      <c r="H10" s="38" t="n">
        <v>7</v>
      </c>
      <c r="I10" s="38" t="n">
        <v>6</v>
      </c>
      <c r="J10" s="38" t="n">
        <v>8</v>
      </c>
      <c r="K10" s="38" t="n">
        <v>4</v>
      </c>
      <c r="L10" s="38" t="n">
        <v>5</v>
      </c>
      <c r="M10" s="38" t="n">
        <v>5</v>
      </c>
      <c r="N10" s="38" t="n">
        <v>4</v>
      </c>
      <c r="O10" s="38" t="n">
        <v>7</v>
      </c>
      <c r="P10" s="38" t="n">
        <v>4</v>
      </c>
      <c r="Q10" s="38" t="n">
        <v>6</v>
      </c>
      <c r="R10" s="38" t="n">
        <v>4</v>
      </c>
      <c r="S10" s="38" t="n">
        <v>5</v>
      </c>
      <c r="T10" s="38" t="n">
        <v>6</v>
      </c>
      <c r="U10" s="38" t="n">
        <v>6</v>
      </c>
      <c r="V10" s="39" t="n">
        <f aca="false">IF(COUNT(D10:U10)=18,SUM(D10:U10),IF(W10="","",W10))</f>
        <v>101</v>
      </c>
      <c r="W10" s="20"/>
      <c r="X10" s="38" t="n">
        <v>21</v>
      </c>
      <c r="Y10" s="15" t="n">
        <f aca="false">IF(X10="","",MIN(X10,Supuestos!$F$5))</f>
        <v>21</v>
      </c>
      <c r="Z10" s="39" t="n">
        <f aca="false">IF(OR(V10="",Y10=""),"",V10-Y10)</f>
        <v>80</v>
      </c>
      <c r="AA10" s="15" t="n">
        <f aca="false">IF(Z10="","",COUNTIF($Z$6:$Z$20,"&lt;"&amp;Z10)+1)</f>
        <v>8</v>
      </c>
      <c r="AB10" s="15" t="n">
        <f aca="false">IF(Z10="","",COUNTIF($Z$6:$Z$20,Z10))</f>
        <v>1</v>
      </c>
      <c r="AC10" s="40" t="n">
        <f aca="false">IF(Z10="","",ROUND(SUMPRODUCT((Supuestos!$A$5:$A$28&gt;=AA10)*(Supuestos!$A$5:$A$28&lt;AA10+AB10)*Supuestos!$B$5:$B$28)/AB10*Supuestos!$F$6,0))</f>
        <v>80</v>
      </c>
      <c r="AD10" s="15" t="n">
        <f aca="false">IF(0=1,0,IFERROR(INDEX(Jugadores!$E$5:$E$21,MATCH(A10,Jugadores!$A$5:$A$21,0)),0))</f>
        <v>1</v>
      </c>
      <c r="AE10" s="31" t="n">
        <f aca="false">IF(OR(AC10="",AD10=0),0,AC10)</f>
        <v>80</v>
      </c>
      <c r="AF10" s="15" t="n">
        <f aca="false">IF(COUNT(D10:U10)&lt;18,"",SUMPRODUCT(--((D10:U10)-$D$4:$U$4&lt;=-2)))</f>
        <v>0</v>
      </c>
      <c r="AG10" s="15" t="n">
        <f aca="false">IF(COUNT(D10:U10)&lt;18,"",SUMPRODUCT(--((D10:U10)-$D$4:$U$4=-1)))</f>
        <v>0</v>
      </c>
      <c r="AH10" s="15" t="n">
        <f aca="false">IF(COUNT(D10:U10)&lt;18,"",SUMPRODUCT(--((D10:U10)-$D$4:$U$4=0)))</f>
        <v>0</v>
      </c>
      <c r="AI10" s="15" t="n">
        <f aca="false">IF(COUNT(D10:U10)&lt;18,"",SUMPRODUCT(--((D10:U10)-$D$4:$U$4=1)))</f>
        <v>10</v>
      </c>
      <c r="AJ10" s="15" t="n">
        <f aca="false">IF(COUNT(D10:U10)&lt;18,"",SUMPRODUCT(--((D10:U10)-$D$4:$U$4&gt;=2)))</f>
        <v>8</v>
      </c>
    </row>
    <row r="11" customFormat="false" ht="15" hidden="false" customHeight="false" outlineLevel="0" collapsed="false">
      <c r="A11" s="36" t="s">
        <v>65</v>
      </c>
      <c r="B11" s="37" t="s">
        <v>66</v>
      </c>
      <c r="C11" s="38" t="s">
        <v>52</v>
      </c>
      <c r="D11" s="38" t="n">
        <v>6</v>
      </c>
      <c r="E11" s="38" t="n">
        <v>7</v>
      </c>
      <c r="F11" s="38" t="n">
        <v>6</v>
      </c>
      <c r="G11" s="38" t="n">
        <v>5</v>
      </c>
      <c r="H11" s="38" t="n">
        <v>4</v>
      </c>
      <c r="I11" s="38" t="n">
        <v>8</v>
      </c>
      <c r="J11" s="38" t="n">
        <v>8</v>
      </c>
      <c r="K11" s="38" t="n">
        <v>4</v>
      </c>
      <c r="L11" s="38" t="n">
        <v>6</v>
      </c>
      <c r="M11" s="38" t="n">
        <v>6</v>
      </c>
      <c r="N11" s="38" t="n">
        <v>3</v>
      </c>
      <c r="O11" s="38" t="n">
        <v>6</v>
      </c>
      <c r="P11" s="38" t="n">
        <v>10</v>
      </c>
      <c r="Q11" s="38" t="n">
        <v>9</v>
      </c>
      <c r="R11" s="38" t="n">
        <v>3</v>
      </c>
      <c r="S11" s="38" t="n">
        <v>6</v>
      </c>
      <c r="T11" s="38" t="n">
        <v>5</v>
      </c>
      <c r="U11" s="38" t="n">
        <v>8</v>
      </c>
      <c r="V11" s="39" t="n">
        <f aca="false">IF(COUNT(D11:U11)=18,SUM(D11:U11),IF(W11="","",W11))</f>
        <v>110</v>
      </c>
      <c r="W11" s="20"/>
      <c r="X11" s="38" t="n">
        <v>27</v>
      </c>
      <c r="Y11" s="15" t="n">
        <f aca="false">IF(X11="","",MIN(X11,Supuestos!$F$5))</f>
        <v>26</v>
      </c>
      <c r="Z11" s="39" t="n">
        <f aca="false">IF(OR(V11="",Y11=""),"",V11-Y11)</f>
        <v>84</v>
      </c>
      <c r="AA11" s="15" t="n">
        <f aca="false">IF(Z11="","",COUNTIF($Z$6:$Z$20,"&lt;"&amp;Z11)+1)</f>
        <v>10</v>
      </c>
      <c r="AB11" s="15" t="n">
        <f aca="false">IF(Z11="","",COUNTIF($Z$6:$Z$20,Z11))</f>
        <v>3</v>
      </c>
      <c r="AC11" s="40" t="n">
        <f aca="false">IF(Z11="","",ROUND(SUMPRODUCT((Supuestos!$A$5:$A$28&gt;=AA11)*(Supuestos!$A$5:$A$28&lt;AA11+AB11)*Supuestos!$B$5:$B$28)/AB11*Supuestos!$F$6,0))</f>
        <v>37</v>
      </c>
      <c r="AD11" s="15" t="n">
        <f aca="false">IF(0=1,0,IFERROR(INDEX(Jugadores!$E$5:$E$21,MATCH(A11,Jugadores!$A$5:$A$21,0)),0))</f>
        <v>1</v>
      </c>
      <c r="AE11" s="31" t="n">
        <f aca="false">IF(OR(AC11="",AD11=0),0,AC11)</f>
        <v>37</v>
      </c>
      <c r="AF11" s="15" t="n">
        <f aca="false">IF(COUNT(D11:U11)&lt;18,"",SUMPRODUCT(--((D11:U11)-$D$4:$U$4&lt;=-2)))</f>
        <v>0</v>
      </c>
      <c r="AG11" s="15" t="n">
        <f aca="false">IF(COUNT(D11:U11)&lt;18,"",SUMPRODUCT(--((D11:U11)-$D$4:$U$4=-1)))</f>
        <v>0</v>
      </c>
      <c r="AH11" s="15" t="n">
        <f aca="false">IF(COUNT(D11:U11)&lt;18,"",SUMPRODUCT(--((D11:U11)-$D$4:$U$4=0)))</f>
        <v>2</v>
      </c>
      <c r="AI11" s="15" t="n">
        <f aca="false">IF(COUNT(D11:U11)&lt;18,"",SUMPRODUCT(--((D11:U11)-$D$4:$U$4=1)))</f>
        <v>6</v>
      </c>
      <c r="AJ11" s="15" t="n">
        <f aca="false">IF(COUNT(D11:U11)&lt;18,"",SUMPRODUCT(--((D11:U11)-$D$4:$U$4&gt;=2)))</f>
        <v>10</v>
      </c>
    </row>
    <row r="12" customFormat="false" ht="15" hidden="false" customHeight="false" outlineLevel="0" collapsed="false">
      <c r="A12" s="36" t="s">
        <v>67</v>
      </c>
      <c r="B12" s="37" t="s">
        <v>68</v>
      </c>
      <c r="C12" s="38" t="s">
        <v>69</v>
      </c>
      <c r="D12" s="38" t="n">
        <v>5</v>
      </c>
      <c r="E12" s="38" t="n">
        <v>7</v>
      </c>
      <c r="F12" s="38" t="n">
        <v>5</v>
      </c>
      <c r="G12" s="38" t="n">
        <v>5</v>
      </c>
      <c r="H12" s="38" t="n">
        <v>4</v>
      </c>
      <c r="I12" s="38" t="n">
        <v>6</v>
      </c>
      <c r="J12" s="38" t="n">
        <v>5</v>
      </c>
      <c r="K12" s="38" t="n">
        <v>3</v>
      </c>
      <c r="L12" s="38" t="n">
        <v>5</v>
      </c>
      <c r="M12" s="38" t="n">
        <v>4</v>
      </c>
      <c r="N12" s="38" t="n">
        <v>6</v>
      </c>
      <c r="O12" s="38" t="n">
        <v>4</v>
      </c>
      <c r="P12" s="38" t="n">
        <v>4</v>
      </c>
      <c r="Q12" s="38" t="n">
        <v>6</v>
      </c>
      <c r="R12" s="38" t="n">
        <v>6</v>
      </c>
      <c r="S12" s="38" t="n">
        <v>7</v>
      </c>
      <c r="T12" s="38" t="n">
        <v>4</v>
      </c>
      <c r="U12" s="38" t="n">
        <v>5</v>
      </c>
      <c r="V12" s="39" t="n">
        <f aca="false">IF(COUNT(D12:U12)=18,SUM(D12:U12),IF(W12="","",W12))</f>
        <v>91</v>
      </c>
      <c r="W12" s="20"/>
      <c r="X12" s="38" t="n">
        <v>6</v>
      </c>
      <c r="Y12" s="15" t="n">
        <f aca="false">IF(X12="","",MIN(X12,Supuestos!$F$5))</f>
        <v>6</v>
      </c>
      <c r="Z12" s="39" t="n">
        <f aca="false">IF(OR(V12="",Y12=""),"",V12-Y12)</f>
        <v>85</v>
      </c>
      <c r="AA12" s="15" t="n">
        <f aca="false">IF(Z12="","",COUNTIF($Z$6:$Z$20,"&lt;"&amp;Z12)+1)</f>
        <v>13</v>
      </c>
      <c r="AB12" s="15" t="n">
        <f aca="false">IF(Z12="","",COUNTIF($Z$6:$Z$20,Z12))</f>
        <v>2</v>
      </c>
      <c r="AC12" s="40" t="n">
        <f aca="false">IF(Z12="","",ROUND(SUMPRODUCT((Supuestos!$A$5:$A$28&gt;=AA12)*(Supuestos!$A$5:$A$28&lt;AA12+AB12)*Supuestos!$B$5:$B$28)/AB12*Supuestos!$F$6,0))</f>
        <v>20</v>
      </c>
      <c r="AD12" s="15" t="n">
        <f aca="false">IF(0=1,0,IFERROR(INDEX(Jugadores!$E$5:$E$21,MATCH(A12,Jugadores!$A$5:$A$21,0)),0))</f>
        <v>1</v>
      </c>
      <c r="AE12" s="31" t="n">
        <f aca="false">IF(OR(AC12="",AD12=0),0,AC12)</f>
        <v>20</v>
      </c>
      <c r="AF12" s="15" t="n">
        <f aca="false">IF(COUNT(D12:U12)&lt;18,"",SUMPRODUCT(--((D12:U12)-$D$4:$U$4&lt;=-2)))</f>
        <v>0</v>
      </c>
      <c r="AG12" s="15" t="n">
        <f aca="false">IF(COUNT(D12:U12)&lt;18,"",SUMPRODUCT(--((D12:U12)-$D$4:$U$4=-1)))</f>
        <v>1</v>
      </c>
      <c r="AH12" s="15" t="n">
        <f aca="false">IF(COUNT(D12:U12)&lt;18,"",SUMPRODUCT(--((D12:U12)-$D$4:$U$4=0)))</f>
        <v>5</v>
      </c>
      <c r="AI12" s="15" t="n">
        <f aca="false">IF(COUNT(D12:U12)&lt;18,"",SUMPRODUCT(--((D12:U12)-$D$4:$U$4=1)))</f>
        <v>7</v>
      </c>
      <c r="AJ12" s="15" t="n">
        <f aca="false">IF(COUNT(D12:U12)&lt;18,"",SUMPRODUCT(--((D12:U12)-$D$4:$U$4&gt;=2)))</f>
        <v>5</v>
      </c>
    </row>
    <row r="13" customFormat="false" ht="15" hidden="false" customHeight="false" outlineLevel="0" collapsed="false">
      <c r="A13" s="36" t="s">
        <v>70</v>
      </c>
      <c r="B13" s="37" t="s">
        <v>71</v>
      </c>
      <c r="C13" s="38" t="s">
        <v>69</v>
      </c>
      <c r="D13" s="38" t="n">
        <v>7</v>
      </c>
      <c r="E13" s="38" t="n">
        <v>5</v>
      </c>
      <c r="F13" s="38" t="n">
        <v>6</v>
      </c>
      <c r="G13" s="38" t="n">
        <v>4</v>
      </c>
      <c r="H13" s="38" t="n">
        <v>3</v>
      </c>
      <c r="I13" s="38" t="n">
        <v>4</v>
      </c>
      <c r="J13" s="38" t="n">
        <v>6</v>
      </c>
      <c r="K13" s="38" t="n">
        <v>3</v>
      </c>
      <c r="L13" s="38" t="n">
        <v>7</v>
      </c>
      <c r="M13" s="38" t="n">
        <v>6</v>
      </c>
      <c r="N13" s="38" t="n">
        <v>3</v>
      </c>
      <c r="O13" s="38" t="n">
        <v>8</v>
      </c>
      <c r="P13" s="38" t="n">
        <v>4</v>
      </c>
      <c r="Q13" s="38" t="n">
        <v>5</v>
      </c>
      <c r="R13" s="38" t="n">
        <v>3</v>
      </c>
      <c r="S13" s="38" t="n">
        <v>4</v>
      </c>
      <c r="T13" s="38" t="n">
        <v>6</v>
      </c>
      <c r="U13" s="38" t="n">
        <v>6</v>
      </c>
      <c r="V13" s="39" t="n">
        <f aca="false">IF(COUNT(D13:U13)=18,SUM(D13:U13),IF(W13="","",W13))</f>
        <v>90</v>
      </c>
      <c r="W13" s="20"/>
      <c r="X13" s="38" t="n">
        <v>11</v>
      </c>
      <c r="Y13" s="15" t="n">
        <f aca="false">IF(X13="","",MIN(X13,Supuestos!$F$5))</f>
        <v>11</v>
      </c>
      <c r="Z13" s="39" t="n">
        <f aca="false">IF(OR(V13="",Y13=""),"",V13-Y13)</f>
        <v>79</v>
      </c>
      <c r="AA13" s="15" t="n">
        <f aca="false">IF(Z13="","",COUNTIF($Z$6:$Z$20,"&lt;"&amp;Z13)+1)</f>
        <v>7</v>
      </c>
      <c r="AB13" s="15" t="n">
        <f aca="false">IF(Z13="","",COUNTIF($Z$6:$Z$20,Z13))</f>
        <v>1</v>
      </c>
      <c r="AC13" s="40" t="n">
        <f aca="false">IF(Z13="","",ROUND(SUMPRODUCT((Supuestos!$A$5:$A$28&gt;=AA13)*(Supuestos!$A$5:$A$28&lt;AA13+AB13)*Supuestos!$B$5:$B$28)/AB13*Supuestos!$F$6,0))</f>
        <v>90</v>
      </c>
      <c r="AD13" s="15" t="n">
        <f aca="false">IF(0=1,0,IFERROR(INDEX(Jugadores!$E$5:$E$21,MATCH(A13,Jugadores!$A$5:$A$21,0)),0))</f>
        <v>1</v>
      </c>
      <c r="AE13" s="31" t="n">
        <f aca="false">IF(OR(AC13="",AD13=0),0,AC13)</f>
        <v>90</v>
      </c>
      <c r="AF13" s="15" t="n">
        <f aca="false">IF(COUNT(D13:U13)&lt;18,"",SUMPRODUCT(--((D13:U13)-$D$4:$U$4&lt;=-2)))</f>
        <v>0</v>
      </c>
      <c r="AG13" s="15" t="n">
        <f aca="false">IF(COUNT(D13:U13)&lt;18,"",SUMPRODUCT(--((D13:U13)-$D$4:$U$4=-1)))</f>
        <v>0</v>
      </c>
      <c r="AH13" s="15" t="n">
        <f aca="false">IF(COUNT(D13:U13)&lt;18,"",SUMPRODUCT(--((D13:U13)-$D$4:$U$4=0)))</f>
        <v>9</v>
      </c>
      <c r="AI13" s="15" t="n">
        <f aca="false">IF(COUNT(D13:U13)&lt;18,"",SUMPRODUCT(--((D13:U13)-$D$4:$U$4=1)))</f>
        <v>2</v>
      </c>
      <c r="AJ13" s="15" t="n">
        <f aca="false">IF(COUNT(D13:U13)&lt;18,"",SUMPRODUCT(--((D13:U13)-$D$4:$U$4&gt;=2)))</f>
        <v>7</v>
      </c>
    </row>
    <row r="14" customFormat="false" ht="15" hidden="false" customHeight="false" outlineLevel="0" collapsed="false">
      <c r="A14" s="36" t="s">
        <v>72</v>
      </c>
      <c r="B14" s="37" t="s">
        <v>73</v>
      </c>
      <c r="C14" s="38" t="s">
        <v>69</v>
      </c>
      <c r="D14" s="38" t="n">
        <v>6</v>
      </c>
      <c r="E14" s="38" t="n">
        <v>5</v>
      </c>
      <c r="F14" s="38" t="n">
        <v>6</v>
      </c>
      <c r="G14" s="38" t="n">
        <v>8</v>
      </c>
      <c r="H14" s="38" t="n">
        <v>5</v>
      </c>
      <c r="I14" s="38" t="n">
        <v>7</v>
      </c>
      <c r="J14" s="38" t="n">
        <v>9</v>
      </c>
      <c r="K14" s="38" t="n">
        <v>3</v>
      </c>
      <c r="L14" s="38" t="n">
        <v>5</v>
      </c>
      <c r="M14" s="38" t="n">
        <v>5</v>
      </c>
      <c r="N14" s="38" t="n">
        <v>3</v>
      </c>
      <c r="O14" s="38" t="n">
        <v>7</v>
      </c>
      <c r="P14" s="38" t="n">
        <v>4</v>
      </c>
      <c r="Q14" s="38" t="n">
        <v>6</v>
      </c>
      <c r="R14" s="38" t="n">
        <v>3</v>
      </c>
      <c r="S14" s="38" t="n">
        <v>5</v>
      </c>
      <c r="T14" s="38" t="n">
        <v>5</v>
      </c>
      <c r="U14" s="38" t="n">
        <v>6</v>
      </c>
      <c r="V14" s="39" t="n">
        <f aca="false">IF(COUNT(D14:U14)=18,SUM(D14:U14),IF(W14="","",W14))</f>
        <v>98</v>
      </c>
      <c r="W14" s="20"/>
      <c r="X14" s="38" t="n">
        <v>16</v>
      </c>
      <c r="Y14" s="15" t="n">
        <f aca="false">IF(X14="","",MIN(X14,Supuestos!$F$5))</f>
        <v>16</v>
      </c>
      <c r="Z14" s="39" t="n">
        <f aca="false">IF(OR(V14="",Y14=""),"",V14-Y14)</f>
        <v>82</v>
      </c>
      <c r="AA14" s="15" t="n">
        <f aca="false">IF(Z14="","",COUNTIF($Z$6:$Z$20,"&lt;"&amp;Z14)+1)</f>
        <v>9</v>
      </c>
      <c r="AB14" s="15" t="n">
        <f aca="false">IF(Z14="","",COUNTIF($Z$6:$Z$20,Z14))</f>
        <v>1</v>
      </c>
      <c r="AC14" s="40" t="n">
        <f aca="false">IF(Z14="","",ROUND(SUMPRODUCT((Supuestos!$A$5:$A$28&gt;=AA14)*(Supuestos!$A$5:$A$28&lt;AA14+AB14)*Supuestos!$B$5:$B$28)/AB14*Supuestos!$F$6,0))</f>
        <v>75</v>
      </c>
      <c r="AD14" s="15" t="n">
        <f aca="false">IF(0=1,0,IFERROR(INDEX(Jugadores!$E$5:$E$21,MATCH(A14,Jugadores!$A$5:$A$21,0)),0))</f>
        <v>1</v>
      </c>
      <c r="AE14" s="31" t="n">
        <f aca="false">IF(OR(AC14="",AD14=0),0,AC14)</f>
        <v>75</v>
      </c>
      <c r="AF14" s="15" t="n">
        <f aca="false">IF(COUNT(D14:U14)&lt;18,"",SUMPRODUCT(--((D14:U14)-$D$4:$U$4&lt;=-2)))</f>
        <v>0</v>
      </c>
      <c r="AG14" s="15" t="n">
        <f aca="false">IF(COUNT(D14:U14)&lt;18,"",SUMPRODUCT(--((D14:U14)-$D$4:$U$4=-1)))</f>
        <v>0</v>
      </c>
      <c r="AH14" s="15" t="n">
        <f aca="false">IF(COUNT(D14:U14)&lt;18,"",SUMPRODUCT(--((D14:U14)-$D$4:$U$4=0)))</f>
        <v>4</v>
      </c>
      <c r="AI14" s="15" t="n">
        <f aca="false">IF(COUNT(D14:U14)&lt;18,"",SUMPRODUCT(--((D14:U14)-$D$4:$U$4=1)))</f>
        <v>7</v>
      </c>
      <c r="AJ14" s="15" t="n">
        <f aca="false">IF(COUNT(D14:U14)&lt;18,"",SUMPRODUCT(--((D14:U14)-$D$4:$U$4&gt;=2)))</f>
        <v>7</v>
      </c>
    </row>
    <row r="15" customFormat="false" ht="15" hidden="false" customHeight="false" outlineLevel="0" collapsed="false">
      <c r="A15" s="36" t="s">
        <v>74</v>
      </c>
      <c r="B15" s="37" t="s">
        <v>75</v>
      </c>
      <c r="C15" s="38" t="s">
        <v>69</v>
      </c>
      <c r="D15" s="38" t="n">
        <v>6</v>
      </c>
      <c r="E15" s="38" t="n">
        <v>5</v>
      </c>
      <c r="F15" s="38" t="n">
        <v>5</v>
      </c>
      <c r="G15" s="38" t="n">
        <v>5</v>
      </c>
      <c r="H15" s="38" t="n">
        <v>4</v>
      </c>
      <c r="I15" s="38" t="n">
        <v>4</v>
      </c>
      <c r="J15" s="38" t="n">
        <v>9</v>
      </c>
      <c r="K15" s="38" t="n">
        <v>4</v>
      </c>
      <c r="L15" s="38" t="n">
        <v>5</v>
      </c>
      <c r="M15" s="38" t="n">
        <v>4</v>
      </c>
      <c r="N15" s="38" t="n">
        <v>4</v>
      </c>
      <c r="O15" s="38" t="n">
        <v>6</v>
      </c>
      <c r="P15" s="38" t="n">
        <v>5</v>
      </c>
      <c r="Q15" s="38" t="n">
        <v>7</v>
      </c>
      <c r="R15" s="38" t="n">
        <v>4</v>
      </c>
      <c r="S15" s="38" t="n">
        <v>4</v>
      </c>
      <c r="T15" s="38" t="n">
        <v>4</v>
      </c>
      <c r="U15" s="38" t="n">
        <v>5</v>
      </c>
      <c r="V15" s="39" t="n">
        <f aca="false">IF(COUNT(D15:U15)=18,SUM(D15:U15),IF(W15="","",W15))</f>
        <v>90</v>
      </c>
      <c r="W15" s="20"/>
      <c r="X15" s="38" t="n">
        <v>12</v>
      </c>
      <c r="Y15" s="15" t="n">
        <f aca="false">IF(X15="","",MIN(X15,Supuestos!$F$5))</f>
        <v>12</v>
      </c>
      <c r="Z15" s="39" t="n">
        <f aca="false">IF(OR(V15="",Y15=""),"",V15-Y15)</f>
        <v>78</v>
      </c>
      <c r="AA15" s="15" t="n">
        <f aca="false">IF(Z15="","",COUNTIF($Z$6:$Z$20,"&lt;"&amp;Z15)+1)</f>
        <v>4</v>
      </c>
      <c r="AB15" s="15" t="n">
        <f aca="false">IF(Z15="","",COUNTIF($Z$6:$Z$20,Z15))</f>
        <v>3</v>
      </c>
      <c r="AC15" s="40" t="n">
        <f aca="false">IF(Z15="","",ROUND(SUMPRODUCT((Supuestos!$A$5:$A$28&gt;=AA15)*(Supuestos!$A$5:$A$28&lt;AA15+AB15)*Supuestos!$B$5:$B$28)/AB15*Supuestos!$F$6,0))</f>
        <v>123</v>
      </c>
      <c r="AD15" s="15" t="n">
        <f aca="false">IF(0=1,0,IFERROR(INDEX(Jugadores!$E$5:$E$21,MATCH(A15,Jugadores!$A$5:$A$21,0)),0))</f>
        <v>1</v>
      </c>
      <c r="AE15" s="31" t="n">
        <f aca="false">IF(OR(AC15="",AD15=0),0,AC15)</f>
        <v>123</v>
      </c>
      <c r="AF15" s="15" t="n">
        <f aca="false">IF(COUNT(D15:U15)&lt;18,"",SUMPRODUCT(--((D15:U15)-$D$4:$U$4&lt;=-2)))</f>
        <v>0</v>
      </c>
      <c r="AG15" s="15" t="n">
        <f aca="false">IF(COUNT(D15:U15)&lt;18,"",SUMPRODUCT(--((D15:U15)-$D$4:$U$4=-1)))</f>
        <v>0</v>
      </c>
      <c r="AH15" s="15" t="n">
        <f aca="false">IF(COUNT(D15:U15)&lt;18,"",SUMPRODUCT(--((D15:U15)-$D$4:$U$4=0)))</f>
        <v>5</v>
      </c>
      <c r="AI15" s="15" t="n">
        <f aca="false">IF(COUNT(D15:U15)&lt;18,"",SUMPRODUCT(--((D15:U15)-$D$4:$U$4=1)))</f>
        <v>10</v>
      </c>
      <c r="AJ15" s="15" t="n">
        <f aca="false">IF(COUNT(D15:U15)&lt;18,"",SUMPRODUCT(--((D15:U15)-$D$4:$U$4&gt;=2)))</f>
        <v>3</v>
      </c>
    </row>
    <row r="16" customFormat="false" ht="15" hidden="false" customHeight="false" outlineLevel="0" collapsed="false">
      <c r="A16" s="36" t="s">
        <v>76</v>
      </c>
      <c r="B16" s="37" t="s">
        <v>77</v>
      </c>
      <c r="C16" s="38" t="s">
        <v>69</v>
      </c>
      <c r="D16" s="38" t="n">
        <v>6</v>
      </c>
      <c r="E16" s="38" t="n">
        <v>6</v>
      </c>
      <c r="F16" s="38" t="n">
        <v>6</v>
      </c>
      <c r="G16" s="38" t="n">
        <v>6</v>
      </c>
      <c r="H16" s="38" t="n">
        <v>5</v>
      </c>
      <c r="I16" s="38" t="n">
        <v>5</v>
      </c>
      <c r="J16" s="38" t="n">
        <v>7</v>
      </c>
      <c r="K16" s="38" t="n">
        <v>4</v>
      </c>
      <c r="L16" s="38" t="n">
        <v>8</v>
      </c>
      <c r="M16" s="38" t="n">
        <v>5</v>
      </c>
      <c r="N16" s="38" t="n">
        <v>6</v>
      </c>
      <c r="O16" s="38" t="n">
        <v>5</v>
      </c>
      <c r="P16" s="38" t="n">
        <v>4</v>
      </c>
      <c r="Q16" s="38" t="n">
        <v>8</v>
      </c>
      <c r="R16" s="38" t="n">
        <v>5</v>
      </c>
      <c r="S16" s="38" t="n">
        <v>5</v>
      </c>
      <c r="T16" s="38" t="n">
        <v>6</v>
      </c>
      <c r="U16" s="38" t="n">
        <v>5</v>
      </c>
      <c r="V16" s="39" t="n">
        <f aca="false">IF(COUNT(D16:U16)=18,SUM(D16:U16),IF(W16="","",W16))</f>
        <v>102</v>
      </c>
      <c r="W16" s="20"/>
      <c r="X16" s="38" t="n">
        <v>17</v>
      </c>
      <c r="Y16" s="15" t="n">
        <f aca="false">IF(X16="","",MIN(X16,Supuestos!$F$5))</f>
        <v>17</v>
      </c>
      <c r="Z16" s="39" t="n">
        <f aca="false">IF(OR(V16="",Y16=""),"",V16-Y16)</f>
        <v>85</v>
      </c>
      <c r="AA16" s="15" t="n">
        <f aca="false">IF(Z16="","",COUNTIF($Z$6:$Z$20,"&lt;"&amp;Z16)+1)</f>
        <v>13</v>
      </c>
      <c r="AB16" s="15" t="n">
        <f aca="false">IF(Z16="","",COUNTIF($Z$6:$Z$20,Z16))</f>
        <v>2</v>
      </c>
      <c r="AC16" s="40" t="n">
        <f aca="false">IF(Z16="","",ROUND(SUMPRODUCT((Supuestos!$A$5:$A$28&gt;=AA16)*(Supuestos!$A$5:$A$28&lt;AA16+AB16)*Supuestos!$B$5:$B$28)/AB16*Supuestos!$F$6,0))</f>
        <v>20</v>
      </c>
      <c r="AD16" s="15" t="n">
        <f aca="false">IF(0=1,0,IFERROR(INDEX(Jugadores!$E$5:$E$21,MATCH(A16,Jugadores!$A$5:$A$21,0)),0))</f>
        <v>1</v>
      </c>
      <c r="AE16" s="31" t="n">
        <f aca="false">IF(OR(AC16="",AD16=0),0,AC16)</f>
        <v>20</v>
      </c>
      <c r="AF16" s="15" t="n">
        <f aca="false">IF(COUNT(D16:U16)&lt;18,"",SUMPRODUCT(--((D16:U16)-$D$4:$U$4&lt;=-2)))</f>
        <v>0</v>
      </c>
      <c r="AG16" s="15" t="n">
        <f aca="false">IF(COUNT(D16:U16)&lt;18,"",SUMPRODUCT(--((D16:U16)-$D$4:$U$4=-1)))</f>
        <v>0</v>
      </c>
      <c r="AH16" s="15" t="n">
        <f aca="false">IF(COUNT(D16:U16)&lt;18,"",SUMPRODUCT(--((D16:U16)-$D$4:$U$4=0)))</f>
        <v>1</v>
      </c>
      <c r="AI16" s="15" t="n">
        <f aca="false">IF(COUNT(D16:U16)&lt;18,"",SUMPRODUCT(--((D16:U16)-$D$4:$U$4=1)))</f>
        <v>8</v>
      </c>
      <c r="AJ16" s="15" t="n">
        <f aca="false">IF(COUNT(D16:U16)&lt;18,"",SUMPRODUCT(--((D16:U16)-$D$4:$U$4&gt;=2)))</f>
        <v>9</v>
      </c>
    </row>
    <row r="17" customFormat="false" ht="15" hidden="false" customHeight="false" outlineLevel="0" collapsed="false">
      <c r="A17" s="36" t="s">
        <v>78</v>
      </c>
      <c r="B17" s="37" t="s">
        <v>79</v>
      </c>
      <c r="C17" s="38" t="s">
        <v>69</v>
      </c>
      <c r="D17" s="38" t="n">
        <v>6</v>
      </c>
      <c r="E17" s="38" t="n">
        <v>6</v>
      </c>
      <c r="F17" s="38" t="n">
        <v>5</v>
      </c>
      <c r="G17" s="38" t="n">
        <v>7</v>
      </c>
      <c r="H17" s="38" t="n">
        <v>4</v>
      </c>
      <c r="I17" s="38" t="n">
        <v>6</v>
      </c>
      <c r="J17" s="38" t="n">
        <v>6</v>
      </c>
      <c r="K17" s="38" t="n">
        <v>4</v>
      </c>
      <c r="L17" s="38" t="n">
        <v>6</v>
      </c>
      <c r="M17" s="38" t="n">
        <v>7</v>
      </c>
      <c r="N17" s="38" t="n">
        <v>4</v>
      </c>
      <c r="O17" s="38" t="n">
        <v>7</v>
      </c>
      <c r="P17" s="38" t="n">
        <v>7</v>
      </c>
      <c r="Q17" s="38" t="n">
        <v>7</v>
      </c>
      <c r="R17" s="38" t="n">
        <v>2</v>
      </c>
      <c r="S17" s="38" t="n">
        <v>6</v>
      </c>
      <c r="T17" s="38" t="n">
        <v>6</v>
      </c>
      <c r="U17" s="38" t="n">
        <v>6</v>
      </c>
      <c r="V17" s="39" t="n">
        <f aca="false">IF(COUNT(D17:U17)=18,SUM(D17:U17),IF(W17="","",W17))</f>
        <v>102</v>
      </c>
      <c r="W17" s="20"/>
      <c r="X17" s="38" t="n">
        <v>18</v>
      </c>
      <c r="Y17" s="15" t="n">
        <f aca="false">IF(X17="","",MIN(X17,Supuestos!$F$5))</f>
        <v>18</v>
      </c>
      <c r="Z17" s="39" t="n">
        <f aca="false">IF(OR(V17="",Y17=""),"",V17-Y17)</f>
        <v>84</v>
      </c>
      <c r="AA17" s="15" t="n">
        <f aca="false">IF(Z17="","",COUNTIF($Z$6:$Z$20,"&lt;"&amp;Z17)+1)</f>
        <v>10</v>
      </c>
      <c r="AB17" s="15" t="n">
        <f aca="false">IF(Z17="","",COUNTIF($Z$6:$Z$20,Z17))</f>
        <v>3</v>
      </c>
      <c r="AC17" s="40" t="n">
        <f aca="false">IF(Z17="","",ROUND(SUMPRODUCT((Supuestos!$A$5:$A$28&gt;=AA17)*(Supuestos!$A$5:$A$28&lt;AA17+AB17)*Supuestos!$B$5:$B$28)/AB17*Supuestos!$F$6,0))</f>
        <v>37</v>
      </c>
      <c r="AD17" s="15" t="n">
        <f aca="false">IF(0=1,0,IFERROR(INDEX(Jugadores!$E$5:$E$21,MATCH(A17,Jugadores!$A$5:$A$21,0)),0))</f>
        <v>1</v>
      </c>
      <c r="AE17" s="31" t="n">
        <f aca="false">IF(OR(AC17="",AD17=0),0,AC17)</f>
        <v>37</v>
      </c>
      <c r="AF17" s="15" t="n">
        <f aca="false">IF(COUNT(D17:U17)&lt;18,"",SUMPRODUCT(--((D17:U17)-$D$4:$U$4&lt;=-2)))</f>
        <v>0</v>
      </c>
      <c r="AG17" s="15" t="n">
        <f aca="false">IF(COUNT(D17:U17)&lt;18,"",SUMPRODUCT(--((D17:U17)-$D$4:$U$4=-1)))</f>
        <v>1</v>
      </c>
      <c r="AH17" s="15" t="n">
        <f aca="false">IF(COUNT(D17:U17)&lt;18,"",SUMPRODUCT(--((D17:U17)-$D$4:$U$4=0)))</f>
        <v>0</v>
      </c>
      <c r="AI17" s="15" t="n">
        <f aca="false">IF(COUNT(D17:U17)&lt;18,"",SUMPRODUCT(--((D17:U17)-$D$4:$U$4=1)))</f>
        <v>7</v>
      </c>
      <c r="AJ17" s="15" t="n">
        <f aca="false">IF(COUNT(D17:U17)&lt;18,"",SUMPRODUCT(--((D17:U17)-$D$4:$U$4&gt;=2)))</f>
        <v>10</v>
      </c>
    </row>
    <row r="18" customFormat="false" ht="15" hidden="false" customHeight="false" outlineLevel="0" collapsed="false">
      <c r="A18" s="36" t="s">
        <v>82</v>
      </c>
      <c r="B18" s="37" t="s">
        <v>83</v>
      </c>
      <c r="C18" s="38" t="s">
        <v>69</v>
      </c>
      <c r="D18" s="38" t="n">
        <v>6</v>
      </c>
      <c r="E18" s="38" t="n">
        <v>6</v>
      </c>
      <c r="F18" s="38" t="n">
        <v>5</v>
      </c>
      <c r="G18" s="38" t="n">
        <v>6</v>
      </c>
      <c r="H18" s="38" t="n">
        <v>4</v>
      </c>
      <c r="I18" s="38" t="n">
        <v>6</v>
      </c>
      <c r="J18" s="38" t="n">
        <v>6</v>
      </c>
      <c r="K18" s="38" t="n">
        <v>3</v>
      </c>
      <c r="L18" s="38" t="n">
        <v>5</v>
      </c>
      <c r="M18" s="38" t="n">
        <v>6</v>
      </c>
      <c r="N18" s="38" t="n">
        <v>4</v>
      </c>
      <c r="O18" s="38" t="n">
        <v>5</v>
      </c>
      <c r="P18" s="38" t="n">
        <v>4</v>
      </c>
      <c r="Q18" s="38" t="n">
        <v>7</v>
      </c>
      <c r="R18" s="38" t="n">
        <v>3</v>
      </c>
      <c r="S18" s="38" t="n">
        <v>5</v>
      </c>
      <c r="T18" s="38" t="n">
        <v>5</v>
      </c>
      <c r="U18" s="38" t="n">
        <v>4</v>
      </c>
      <c r="V18" s="39" t="n">
        <f aca="false">IF(COUNT(D18:U18)=18,SUM(D18:U18),IF(W18="","",W18))</f>
        <v>90</v>
      </c>
      <c r="W18" s="20"/>
      <c r="X18" s="38" t="n">
        <v>21</v>
      </c>
      <c r="Y18" s="15" t="n">
        <f aca="false">IF(X18="","",MIN(X18,Supuestos!$F$5))</f>
        <v>21</v>
      </c>
      <c r="Z18" s="39" t="n">
        <f aca="false">IF(OR(V18="",Y18=""),"",V18-Y18)</f>
        <v>69</v>
      </c>
      <c r="AA18" s="15" t="n">
        <f aca="false">IF(Z18="","",COUNTIF($Z$6:$Z$20,"&lt;"&amp;Z18)+1)</f>
        <v>1</v>
      </c>
      <c r="AB18" s="15" t="n">
        <f aca="false">IF(Z18="","",COUNTIF($Z$6:$Z$20,Z18))</f>
        <v>1</v>
      </c>
      <c r="AC18" s="40" t="n">
        <f aca="false">IF(Z18="","",ROUND(SUMPRODUCT((Supuestos!$A$5:$A$28&gt;=AA18)*(Supuestos!$A$5:$A$28&lt;AA18+AB18)*Supuestos!$B$5:$B$28)/AB18*Supuestos!$F$6,0))</f>
        <v>500</v>
      </c>
      <c r="AD18" s="15" t="n">
        <f aca="false">IF(0=1,0,IFERROR(INDEX(Jugadores!$E$5:$E$21,MATCH(A18,Jugadores!$A$5:$A$21,0)),0))</f>
        <v>1</v>
      </c>
      <c r="AE18" s="31" t="n">
        <f aca="false">IF(OR(AC18="",AD18=0),0,AC18)</f>
        <v>500</v>
      </c>
      <c r="AF18" s="15" t="n">
        <f aca="false">IF(COUNT(D18:U18)&lt;18,"",SUMPRODUCT(--((D18:U18)-$D$4:$U$4&lt;=-2)))</f>
        <v>0</v>
      </c>
      <c r="AG18" s="15" t="n">
        <f aca="false">IF(COUNT(D18:U18)&lt;18,"",SUMPRODUCT(--((D18:U18)-$D$4:$U$4=-1)))</f>
        <v>0</v>
      </c>
      <c r="AH18" s="15" t="n">
        <f aca="false">IF(COUNT(D18:U18)&lt;18,"",SUMPRODUCT(--((D18:U18)-$D$4:$U$4=0)))</f>
        <v>4</v>
      </c>
      <c r="AI18" s="15" t="n">
        <f aca="false">IF(COUNT(D18:U18)&lt;18,"",SUMPRODUCT(--((D18:U18)-$D$4:$U$4=1)))</f>
        <v>10</v>
      </c>
      <c r="AJ18" s="15" t="n">
        <f aca="false">IF(COUNT(D18:U18)&lt;18,"",SUMPRODUCT(--((D18:U18)-$D$4:$U$4&gt;=2)))</f>
        <v>4</v>
      </c>
    </row>
    <row r="19" customFormat="false" ht="15" hidden="false" customHeight="false" outlineLevel="0" collapsed="false">
      <c r="A19" s="36" t="s">
        <v>169</v>
      </c>
      <c r="B19" s="37" t="s">
        <v>170</v>
      </c>
      <c r="C19" s="38" t="s">
        <v>69</v>
      </c>
      <c r="D19" s="38" t="n">
        <v>5</v>
      </c>
      <c r="E19" s="38" t="n">
        <v>7</v>
      </c>
      <c r="F19" s="38" t="n">
        <v>5</v>
      </c>
      <c r="G19" s="38" t="n">
        <v>4</v>
      </c>
      <c r="H19" s="38" t="n">
        <v>4</v>
      </c>
      <c r="I19" s="38" t="n">
        <v>10</v>
      </c>
      <c r="J19" s="38" t="n">
        <v>7</v>
      </c>
      <c r="K19" s="38" t="n">
        <v>5</v>
      </c>
      <c r="L19" s="38" t="n">
        <v>6</v>
      </c>
      <c r="M19" s="38" t="n">
        <v>4</v>
      </c>
      <c r="N19" s="38" t="n">
        <v>5</v>
      </c>
      <c r="O19" s="38" t="n">
        <v>10</v>
      </c>
      <c r="P19" s="38" t="n">
        <v>5</v>
      </c>
      <c r="Q19" s="38" t="n">
        <v>8</v>
      </c>
      <c r="R19" s="38" t="n">
        <v>2</v>
      </c>
      <c r="S19" s="38" t="n">
        <v>5</v>
      </c>
      <c r="T19" s="38" t="n">
        <v>5</v>
      </c>
      <c r="U19" s="38" t="n">
        <v>7</v>
      </c>
      <c r="V19" s="39" t="n">
        <f aca="false">IF(COUNT(D19:U19)=18,SUM(D19:U19),IF(W19="","",W19))</f>
        <v>104</v>
      </c>
      <c r="W19" s="20"/>
      <c r="X19" s="38" t="n">
        <v>20</v>
      </c>
      <c r="Y19" s="15" t="n">
        <f aca="false">IF(X19="","",MIN(X19,Supuestos!$F$5))</f>
        <v>20</v>
      </c>
      <c r="Z19" s="39" t="n">
        <f aca="false">IF(OR(V19="",Y19=""),"",V19-Y19)</f>
        <v>84</v>
      </c>
      <c r="AA19" s="15" t="n">
        <f aca="false">IF(Z19="","",COUNTIF($Z$6:$Z$20,"&lt;"&amp;Z19)+1)</f>
        <v>10</v>
      </c>
      <c r="AB19" s="15" t="n">
        <f aca="false">IF(Z19="","",COUNTIF($Z$6:$Z$20,Z19))</f>
        <v>3</v>
      </c>
      <c r="AC19" s="40" t="n">
        <f aca="false">IF(Z19="","",ROUND(SUMPRODUCT((Supuestos!$A$5:$A$28&gt;=AA19)*(Supuestos!$A$5:$A$28&lt;AA19+AB19)*Supuestos!$B$5:$B$28)/AB19*Supuestos!$F$6,0))</f>
        <v>37</v>
      </c>
      <c r="AD19" s="15" t="n">
        <f aca="false">IF(1=1,0,IFERROR(INDEX(Jugadores!$E$5:$E$21,MATCH(A19,Jugadores!$A$5:$A$21,0)),0))</f>
        <v>0</v>
      </c>
      <c r="AE19" s="31" t="n">
        <f aca="false">IF(OR(AC19="",AD19=0),0,AC19)</f>
        <v>0</v>
      </c>
      <c r="AF19" s="15" t="n">
        <f aca="false">IF(COUNT(D19:U19)&lt;18,"",SUMPRODUCT(--((D19:U19)-$D$4:$U$4&lt;=-2)))</f>
        <v>0</v>
      </c>
      <c r="AG19" s="15" t="n">
        <f aca="false">IF(COUNT(D19:U19)&lt;18,"",SUMPRODUCT(--((D19:U19)-$D$4:$U$4=-1)))</f>
        <v>1</v>
      </c>
      <c r="AH19" s="15" t="n">
        <f aca="false">IF(COUNT(D19:U19)&lt;18,"",SUMPRODUCT(--((D19:U19)-$D$4:$U$4=0)))</f>
        <v>3</v>
      </c>
      <c r="AI19" s="15" t="n">
        <f aca="false">IF(COUNT(D19:U19)&lt;18,"",SUMPRODUCT(--((D19:U19)-$D$4:$U$4=1)))</f>
        <v>4</v>
      </c>
      <c r="AJ19" s="15" t="n">
        <f aca="false">IF(COUNT(D19:U19)&lt;18,"",SUMPRODUCT(--((D19:U19)-$D$4:$U$4&gt;=2)))</f>
        <v>10</v>
      </c>
    </row>
    <row r="20" customFormat="false" ht="15" hidden="false" customHeight="false" outlineLevel="0" collapsed="false">
      <c r="A20" s="36" t="s">
        <v>84</v>
      </c>
      <c r="B20" s="37" t="s">
        <v>85</v>
      </c>
      <c r="C20" s="38" t="s">
        <v>52</v>
      </c>
      <c r="D20" s="38" t="n">
        <v>8</v>
      </c>
      <c r="E20" s="38" t="n">
        <v>6</v>
      </c>
      <c r="F20" s="38" t="n">
        <v>6</v>
      </c>
      <c r="G20" s="38" t="n">
        <v>5</v>
      </c>
      <c r="H20" s="38" t="n">
        <v>4</v>
      </c>
      <c r="I20" s="38" t="n">
        <v>11</v>
      </c>
      <c r="J20" s="38" t="n">
        <v>10</v>
      </c>
      <c r="K20" s="38" t="n">
        <v>6</v>
      </c>
      <c r="L20" s="38" t="n">
        <v>8</v>
      </c>
      <c r="M20" s="38" t="n">
        <v>6</v>
      </c>
      <c r="N20" s="38" t="n">
        <v>5</v>
      </c>
      <c r="O20" s="38" t="n">
        <v>5</v>
      </c>
      <c r="P20" s="38" t="n">
        <v>4</v>
      </c>
      <c r="Q20" s="38" t="n">
        <v>8</v>
      </c>
      <c r="R20" s="38" t="n">
        <v>6</v>
      </c>
      <c r="S20" s="38" t="n">
        <v>6</v>
      </c>
      <c r="T20" s="38" t="n">
        <v>9</v>
      </c>
      <c r="U20" s="38" t="n">
        <v>7</v>
      </c>
      <c r="V20" s="39" t="n">
        <f aca="false">IF(COUNT(D20:U20)=18,SUM(D20:U20),IF(W20="","",W20))</f>
        <v>120</v>
      </c>
      <c r="W20" s="20"/>
      <c r="X20" s="38" t="n">
        <v>19</v>
      </c>
      <c r="Y20" s="15" t="n">
        <f aca="false">IF(X20="","",MIN(X20,Supuestos!$F$5))</f>
        <v>19</v>
      </c>
      <c r="Z20" s="39" t="n">
        <f aca="false">IF(OR(V20="",Y20=""),"",V20-Y20)</f>
        <v>101</v>
      </c>
      <c r="AA20" s="15" t="n">
        <f aca="false">IF(Z20="","",COUNTIF($Z$6:$Z$20,"&lt;"&amp;Z20)+1)</f>
        <v>15</v>
      </c>
      <c r="AB20" s="15" t="n">
        <f aca="false">IF(Z20="","",COUNTIF($Z$6:$Z$20,Z20))</f>
        <v>1</v>
      </c>
      <c r="AC20" s="40" t="n">
        <f aca="false">IF(Z20="","",ROUND(SUMPRODUCT((Supuestos!$A$5:$A$28&gt;=AA20)*(Supuestos!$A$5:$A$28&lt;AA20+AB20)*Supuestos!$B$5:$B$28)/AB20*Supuestos!$F$6,0))</f>
        <v>0</v>
      </c>
      <c r="AD20" s="15" t="n">
        <f aca="false">IF(1=1,0,IFERROR(INDEX(Jugadores!$E$5:$E$21,MATCH(A20,Jugadores!$A$5:$A$21,0)),0))</f>
        <v>0</v>
      </c>
      <c r="AE20" s="31" t="n">
        <f aca="false">IF(OR(AC20="",AD20=0),0,AC20)</f>
        <v>0</v>
      </c>
      <c r="AF20" s="15" t="n">
        <f aca="false">IF(COUNT(D20:U20)&lt;18,"",SUMPRODUCT(--((D20:U20)-$D$4:$U$4&lt;=-2)))</f>
        <v>0</v>
      </c>
      <c r="AG20" s="15" t="n">
        <f aca="false">IF(COUNT(D20:U20)&lt;18,"",SUMPRODUCT(--((D20:U20)-$D$4:$U$4=-1)))</f>
        <v>0</v>
      </c>
      <c r="AH20" s="15" t="n">
        <f aca="false">IF(COUNT(D20:U20)&lt;18,"",SUMPRODUCT(--((D20:U20)-$D$4:$U$4=0)))</f>
        <v>1</v>
      </c>
      <c r="AI20" s="15" t="n">
        <f aca="false">IF(COUNT(D20:U20)&lt;18,"",SUMPRODUCT(--((D20:U20)-$D$4:$U$4=1)))</f>
        <v>4</v>
      </c>
      <c r="AJ20" s="15" t="n">
        <f aca="false">IF(COUNT(D20:U20)&lt;18,"",SUMPRODUCT(--((D20:U20)-$D$4:$U$4&gt;=2)))</f>
        <v>13</v>
      </c>
    </row>
    <row r="22" customFormat="false" ht="15" hidden="false" customHeight="false" outlineLevel="0" collapsed="false">
      <c r="B22" s="3" t="s">
        <v>152</v>
      </c>
    </row>
    <row r="23" customFormat="false" ht="15" hidden="false" customHeight="false" outlineLevel="0" collapsed="false">
      <c r="B23" s="4" t="s">
        <v>153</v>
      </c>
      <c r="C23" s="21" t="n">
        <f aca="false">COUNT(V6:V20)</f>
        <v>15</v>
      </c>
    </row>
    <row r="24" customFormat="false" ht="15" hidden="false" customHeight="false" outlineLevel="0" collapsed="false">
      <c r="B24" s="4" t="s">
        <v>154</v>
      </c>
      <c r="C24" s="42" t="n">
        <f aca="false">IFERROR(AVERAGE(V6:V20),"")</f>
        <v>97.8666666666667</v>
      </c>
    </row>
    <row r="25" customFormat="false" ht="15" hidden="false" customHeight="false" outlineLevel="0" collapsed="false">
      <c r="B25" s="4" t="s">
        <v>155</v>
      </c>
      <c r="C25" s="42" t="n">
        <f aca="false">IFERROR(AVERAGE(Z6:Z20),"")</f>
        <v>81.3333333333333</v>
      </c>
    </row>
    <row r="26" customFormat="false" ht="15" hidden="false" customHeight="false" outlineLevel="0" collapsed="false">
      <c r="B26" s="4" t="s">
        <v>156</v>
      </c>
      <c r="C26" s="21" t="n">
        <f aca="false">IFERROR(MIN(Z6:Z20),"")</f>
        <v>69</v>
      </c>
    </row>
    <row r="27" customFormat="false" ht="15" hidden="false" customHeight="false" outlineLevel="0" collapsed="false">
      <c r="B27" s="4" t="s">
        <v>157</v>
      </c>
      <c r="C27" s="21" t="n">
        <f aca="false">IFERROR(MIN(V6:V20),"")</f>
        <v>86</v>
      </c>
    </row>
    <row r="28" customFormat="false" ht="15" hidden="false" customHeight="false" outlineLevel="0" collapsed="false">
      <c r="B28" s="4" t="s">
        <v>158</v>
      </c>
      <c r="C28" s="21" t="n">
        <f aca="false">SUM(AF6:AF20)</f>
        <v>0</v>
      </c>
    </row>
    <row r="29" customFormat="false" ht="15" hidden="false" customHeight="false" outlineLevel="0" collapsed="false">
      <c r="B29" s="4" t="s">
        <v>159</v>
      </c>
      <c r="C29" s="21" t="n">
        <f aca="false">SUM(AG6:AG20)</f>
        <v>5</v>
      </c>
    </row>
    <row r="30" customFormat="false" ht="15" hidden="false" customHeight="false" outlineLevel="0" collapsed="false">
      <c r="B30" s="4" t="s">
        <v>160</v>
      </c>
      <c r="C30" s="21" t="n">
        <f aca="false">SUM(AH6:AH20)</f>
        <v>50</v>
      </c>
    </row>
    <row r="31" customFormat="false" ht="15" hidden="false" customHeight="false" outlineLevel="0" collapsed="false">
      <c r="B31" s="4" t="s">
        <v>161</v>
      </c>
      <c r="C31" s="21" t="n">
        <f aca="false">SUM(AI6:AI20)</f>
        <v>107</v>
      </c>
    </row>
    <row r="32" customFormat="false" ht="15" hidden="false" customHeight="false" outlineLevel="0" collapsed="false">
      <c r="B32" s="4" t="s">
        <v>162</v>
      </c>
      <c r="C32" s="21" t="n">
        <f aca="false">SUM(AJ6:AJ20)</f>
        <v>108</v>
      </c>
    </row>
  </sheetData>
  <conditionalFormatting sqref="D6:U20">
    <cfRule type="expression" priority="2" aboveAverage="0" equalAverage="0" bottom="0" percent="0" rank="0" text="" dxfId="0">
      <formula>AND(ISNUMBER(D6),D6-D$4&lt;=-2)</formula>
    </cfRule>
    <cfRule type="expression" priority="3" aboveAverage="0" equalAverage="0" bottom="0" percent="0" rank="0" text="" dxfId="1">
      <formula>AND(ISNUMBER(D6),D6-D$4=-1)</formula>
    </cfRule>
    <cfRule type="expression" priority="4" aboveAverage="0" equalAverage="0" bottom="0" percent="0" rank="0" text="" dxfId="2">
      <formula>AND(ISNUMBER(D6),D6-D$4=1)</formula>
    </cfRule>
    <cfRule type="expression" priority="5" aboveAverage="0" equalAverage="0" bottom="0" percent="0" rank="0" text="" dxfId="3">
      <formula>AND(ISNUMBER(D6),D6-D$4&gt;=2)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21" min="4" style="0" width="4.2"/>
    <col collapsed="false" customWidth="true" hidden="false" outlineLevel="0" max="22" min="22" style="0" width="7"/>
    <col collapsed="false" customWidth="true" hidden="false" outlineLevel="0" max="23" min="23" style="0" width="8"/>
    <col collapsed="false" customWidth="true" hidden="false" outlineLevel="0" max="26" min="24" style="0" width="7"/>
    <col collapsed="false" customWidth="true" hidden="false" outlineLevel="0" max="28" min="27" style="0" width="6"/>
    <col collapsed="false" customWidth="true" hidden="false" outlineLevel="0" max="29" min="29" style="0" width="8"/>
    <col collapsed="false" customWidth="true" hidden="false" outlineLevel="0" max="30" min="30" style="0" width="7"/>
    <col collapsed="false" customWidth="true" hidden="false" outlineLevel="0" max="31" min="31" style="0" width="8"/>
    <col collapsed="false" customWidth="true" hidden="false" outlineLevel="0" max="36" min="32" style="0" width="6"/>
  </cols>
  <sheetData>
    <row r="1" customFormat="false" ht="17.35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4" customFormat="false" ht="15" hidden="false" customHeight="false" outlineLevel="0" collapsed="false">
      <c r="B4" s="33" t="s">
        <v>119</v>
      </c>
      <c r="D4" s="34" t="n">
        <v>4</v>
      </c>
      <c r="E4" s="34" t="n">
        <v>5</v>
      </c>
      <c r="F4" s="34" t="n">
        <v>4</v>
      </c>
      <c r="G4" s="34" t="n">
        <v>3</v>
      </c>
      <c r="H4" s="34" t="n">
        <v>4</v>
      </c>
      <c r="I4" s="34" t="n">
        <v>5</v>
      </c>
      <c r="J4" s="34" t="n">
        <v>4</v>
      </c>
      <c r="K4" s="34" t="n">
        <v>4</v>
      </c>
      <c r="L4" s="34" t="n">
        <v>3</v>
      </c>
      <c r="M4" s="34" t="n">
        <v>5</v>
      </c>
      <c r="N4" s="34" t="n">
        <v>4</v>
      </c>
      <c r="O4" s="34" t="n">
        <v>4</v>
      </c>
      <c r="P4" s="34" t="n">
        <v>4</v>
      </c>
      <c r="Q4" s="34" t="n">
        <v>4</v>
      </c>
      <c r="R4" s="34" t="n">
        <v>3</v>
      </c>
      <c r="S4" s="34" t="n">
        <v>4</v>
      </c>
      <c r="T4" s="34" t="n">
        <v>3</v>
      </c>
      <c r="U4" s="34" t="n">
        <v>5</v>
      </c>
      <c r="V4" s="35" t="n">
        <f aca="false">SUM(D4:U4)</f>
        <v>72</v>
      </c>
    </row>
    <row r="5" customFormat="false" ht="15" hidden="false" customHeight="false" outlineLevel="0" collapsed="false">
      <c r="A5" s="8" t="s">
        <v>35</v>
      </c>
      <c r="B5" s="8" t="s">
        <v>9</v>
      </c>
      <c r="C5" s="8" t="s">
        <v>36</v>
      </c>
      <c r="D5" s="8" t="s">
        <v>120</v>
      </c>
      <c r="E5" s="8" t="s">
        <v>121</v>
      </c>
      <c r="F5" s="8" t="s">
        <v>122</v>
      </c>
      <c r="G5" s="8" t="s">
        <v>123</v>
      </c>
      <c r="H5" s="8" t="s">
        <v>124</v>
      </c>
      <c r="I5" s="8" t="s">
        <v>125</v>
      </c>
      <c r="J5" s="8" t="s">
        <v>126</v>
      </c>
      <c r="K5" s="8" t="s">
        <v>127</v>
      </c>
      <c r="L5" s="8" t="s">
        <v>128</v>
      </c>
      <c r="M5" s="8" t="s">
        <v>129</v>
      </c>
      <c r="N5" s="8" t="s">
        <v>130</v>
      </c>
      <c r="O5" s="8" t="s">
        <v>131</v>
      </c>
      <c r="P5" s="8" t="s">
        <v>132</v>
      </c>
      <c r="Q5" s="8" t="s">
        <v>133</v>
      </c>
      <c r="R5" s="8" t="s">
        <v>134</v>
      </c>
      <c r="S5" s="8" t="s">
        <v>135</v>
      </c>
      <c r="T5" s="8" t="s">
        <v>136</v>
      </c>
      <c r="U5" s="8" t="s">
        <v>137</v>
      </c>
      <c r="V5" s="8" t="s">
        <v>138</v>
      </c>
      <c r="W5" s="8" t="s">
        <v>139</v>
      </c>
      <c r="X5" s="8" t="s">
        <v>140</v>
      </c>
      <c r="Y5" s="8" t="s">
        <v>141</v>
      </c>
      <c r="Z5" s="8" t="s">
        <v>142</v>
      </c>
      <c r="AA5" s="8" t="s">
        <v>143</v>
      </c>
      <c r="AB5" s="8" t="s">
        <v>144</v>
      </c>
      <c r="AC5" s="8" t="s">
        <v>10</v>
      </c>
      <c r="AD5" s="8" t="s">
        <v>145</v>
      </c>
      <c r="AE5" s="8" t="s">
        <v>146</v>
      </c>
      <c r="AF5" s="8" t="s">
        <v>147</v>
      </c>
      <c r="AG5" s="8" t="s">
        <v>148</v>
      </c>
      <c r="AH5" s="8" t="s">
        <v>149</v>
      </c>
      <c r="AI5" s="8" t="s">
        <v>150</v>
      </c>
      <c r="AJ5" s="8" t="s">
        <v>151</v>
      </c>
    </row>
    <row r="6" customFormat="false" ht="15" hidden="false" customHeight="false" outlineLevel="0" collapsed="false">
      <c r="A6" s="36" t="s">
        <v>50</v>
      </c>
      <c r="B6" s="37" t="s">
        <v>51</v>
      </c>
      <c r="C6" s="38" t="s">
        <v>52</v>
      </c>
      <c r="D6" s="38" t="n">
        <v>5</v>
      </c>
      <c r="E6" s="38" t="n">
        <v>9</v>
      </c>
      <c r="F6" s="38" t="n">
        <v>5</v>
      </c>
      <c r="G6" s="38" t="n">
        <v>2</v>
      </c>
      <c r="H6" s="38" t="n">
        <v>7</v>
      </c>
      <c r="I6" s="38" t="n">
        <v>7</v>
      </c>
      <c r="J6" s="38" t="n">
        <v>5</v>
      </c>
      <c r="K6" s="38" t="n">
        <v>5</v>
      </c>
      <c r="L6" s="38" t="n">
        <v>3</v>
      </c>
      <c r="M6" s="38" t="n">
        <v>6</v>
      </c>
      <c r="N6" s="38" t="n">
        <v>4</v>
      </c>
      <c r="O6" s="38" t="n">
        <v>5</v>
      </c>
      <c r="P6" s="38" t="n">
        <v>5</v>
      </c>
      <c r="Q6" s="38" t="n">
        <v>5</v>
      </c>
      <c r="R6" s="38" t="n">
        <v>3</v>
      </c>
      <c r="S6" s="38" t="n">
        <v>4</v>
      </c>
      <c r="T6" s="38" t="n">
        <v>3</v>
      </c>
      <c r="U6" s="38" t="n">
        <v>5</v>
      </c>
      <c r="V6" s="39" t="n">
        <f aca="false">IF(COUNT(D6:U6)=18,SUM(D6:U6),IF(W6="","",W6))</f>
        <v>88</v>
      </c>
      <c r="W6" s="20"/>
      <c r="X6" s="38" t="n">
        <v>5</v>
      </c>
      <c r="Y6" s="15" t="n">
        <f aca="false">IF(X6="","",MIN(X6,Supuestos!$F$5))</f>
        <v>5</v>
      </c>
      <c r="Z6" s="39" t="n">
        <f aca="false">IF(OR(V6="",Y6=""),"",V6-Y6)</f>
        <v>83</v>
      </c>
      <c r="AA6" s="15" t="n">
        <f aca="false">IF(Z6="","",COUNTIF($Z$6:$Z$21,"&lt;"&amp;Z6)+1)</f>
        <v>10</v>
      </c>
      <c r="AB6" s="15" t="n">
        <f aca="false">IF(Z6="","",COUNTIF($Z$6:$Z$21,Z6))</f>
        <v>2</v>
      </c>
      <c r="AC6" s="40" t="n">
        <f aca="false">IF(Z6="","",ROUND(SUMPRODUCT((Supuestos!$A$5:$A$28&gt;=AA6)*(Supuestos!$A$5:$A$28&lt;AA6+AB6)*Supuestos!$B$5:$B$28)/AB6*Supuestos!$F$6,0))</f>
        <v>45</v>
      </c>
      <c r="AD6" s="15" t="n">
        <f aca="false">IF(0=1,0,IFERROR(INDEX(Jugadores!$E$5:$E$21,MATCH(A6,Jugadores!$A$5:$A$21,0)),0))</f>
        <v>1</v>
      </c>
      <c r="AE6" s="31" t="n">
        <f aca="false">IF(OR(AC6="",AD6=0),0,AC6)</f>
        <v>45</v>
      </c>
      <c r="AF6" s="15" t="n">
        <f aca="false">IF(COUNT(D6:U6)&lt;18,"",SUMPRODUCT(--((D6:U6)-$D$4:$U$4&lt;=-2)))</f>
        <v>0</v>
      </c>
      <c r="AG6" s="15" t="n">
        <f aca="false">IF(COUNT(D6:U6)&lt;18,"",SUMPRODUCT(--((D6:U6)-$D$4:$U$4=-1)))</f>
        <v>1</v>
      </c>
      <c r="AH6" s="15" t="n">
        <f aca="false">IF(COUNT(D6:U6)&lt;18,"",SUMPRODUCT(--((D6:U6)-$D$4:$U$4=0)))</f>
        <v>6</v>
      </c>
      <c r="AI6" s="15" t="n">
        <f aca="false">IF(COUNT(D6:U6)&lt;18,"",SUMPRODUCT(--((D6:U6)-$D$4:$U$4=1)))</f>
        <v>8</v>
      </c>
      <c r="AJ6" s="15" t="n">
        <f aca="false">IF(COUNT(D6:U6)&lt;18,"",SUMPRODUCT(--((D6:U6)-$D$4:$U$4&gt;=2)))</f>
        <v>3</v>
      </c>
    </row>
    <row r="7" customFormat="false" ht="15" hidden="false" customHeight="false" outlineLevel="0" collapsed="false">
      <c r="A7" s="36" t="s">
        <v>53</v>
      </c>
      <c r="B7" s="37" t="s">
        <v>54</v>
      </c>
      <c r="C7" s="38" t="s">
        <v>52</v>
      </c>
      <c r="D7" s="38" t="n">
        <v>4</v>
      </c>
      <c r="E7" s="38" t="n">
        <v>7</v>
      </c>
      <c r="F7" s="38" t="n">
        <v>5</v>
      </c>
      <c r="G7" s="38" t="n">
        <v>3</v>
      </c>
      <c r="H7" s="38" t="n">
        <v>4</v>
      </c>
      <c r="I7" s="38" t="n">
        <v>6</v>
      </c>
      <c r="J7" s="38" t="n">
        <v>7</v>
      </c>
      <c r="K7" s="38" t="n">
        <v>5</v>
      </c>
      <c r="L7" s="38" t="n">
        <v>3</v>
      </c>
      <c r="M7" s="38" t="n">
        <v>9</v>
      </c>
      <c r="N7" s="38" t="n">
        <v>5</v>
      </c>
      <c r="O7" s="38" t="n">
        <v>5</v>
      </c>
      <c r="P7" s="38" t="n">
        <v>5</v>
      </c>
      <c r="Q7" s="38" t="n">
        <v>7</v>
      </c>
      <c r="R7" s="38" t="n">
        <v>4</v>
      </c>
      <c r="S7" s="38" t="n">
        <v>4</v>
      </c>
      <c r="T7" s="38" t="n">
        <v>3</v>
      </c>
      <c r="U7" s="38" t="n">
        <v>6</v>
      </c>
      <c r="V7" s="39" t="n">
        <f aca="false">IF(COUNT(D7:U7)=18,SUM(D7:U7),IF(W7="","",W7))</f>
        <v>92</v>
      </c>
      <c r="W7" s="20"/>
      <c r="X7" s="38" t="n">
        <v>11</v>
      </c>
      <c r="Y7" s="15" t="n">
        <f aca="false">IF(X7="","",MIN(X7,Supuestos!$F$5))</f>
        <v>11</v>
      </c>
      <c r="Z7" s="39" t="n">
        <f aca="false">IF(OR(V7="",Y7=""),"",V7-Y7)</f>
        <v>81</v>
      </c>
      <c r="AA7" s="15" t="n">
        <f aca="false">IF(Z7="","",COUNTIF($Z$6:$Z$21,"&lt;"&amp;Z7)+1)</f>
        <v>7</v>
      </c>
      <c r="AB7" s="15" t="n">
        <f aca="false">IF(Z7="","",COUNTIF($Z$6:$Z$21,Z7))</f>
        <v>2</v>
      </c>
      <c r="AC7" s="40" t="n">
        <f aca="false">IF(Z7="","",ROUND(SUMPRODUCT((Supuestos!$A$5:$A$28&gt;=AA7)*(Supuestos!$A$5:$A$28&lt;AA7+AB7)*Supuestos!$B$5:$B$28)/AB7*Supuestos!$F$6,0))</f>
        <v>85</v>
      </c>
      <c r="AD7" s="15" t="n">
        <f aca="false">IF(0=1,0,IFERROR(INDEX(Jugadores!$E$5:$E$21,MATCH(A7,Jugadores!$A$5:$A$21,0)),0))</f>
        <v>1</v>
      </c>
      <c r="AE7" s="31" t="n">
        <f aca="false">IF(OR(AC7="",AD7=0),0,AC7)</f>
        <v>85</v>
      </c>
      <c r="AF7" s="15" t="n">
        <f aca="false">IF(COUNT(D7:U7)&lt;18,"",SUMPRODUCT(--((D7:U7)-$D$4:$U$4&lt;=-2)))</f>
        <v>0</v>
      </c>
      <c r="AG7" s="15" t="n">
        <f aca="false">IF(COUNT(D7:U7)&lt;18,"",SUMPRODUCT(--((D7:U7)-$D$4:$U$4=-1)))</f>
        <v>0</v>
      </c>
      <c r="AH7" s="15" t="n">
        <f aca="false">IF(COUNT(D7:U7)&lt;18,"",SUMPRODUCT(--((D7:U7)-$D$4:$U$4=0)))</f>
        <v>6</v>
      </c>
      <c r="AI7" s="15" t="n">
        <f aca="false">IF(COUNT(D7:U7)&lt;18,"",SUMPRODUCT(--((D7:U7)-$D$4:$U$4=1)))</f>
        <v>8</v>
      </c>
      <c r="AJ7" s="15" t="n">
        <f aca="false">IF(COUNT(D7:U7)&lt;18,"",SUMPRODUCT(--((D7:U7)-$D$4:$U$4&gt;=2)))</f>
        <v>4</v>
      </c>
    </row>
    <row r="8" customFormat="false" ht="15" hidden="false" customHeight="false" outlineLevel="0" collapsed="false">
      <c r="A8" s="36" t="s">
        <v>55</v>
      </c>
      <c r="B8" s="37" t="s">
        <v>56</v>
      </c>
      <c r="C8" s="38" t="s">
        <v>52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39" t="str">
        <f aca="false">IF(COUNT(D8:U8)=18,SUM(D8:U8),IF(W8="","",W8))</f>
        <v/>
      </c>
      <c r="W8" s="20"/>
      <c r="X8" s="20"/>
      <c r="Y8" s="15" t="str">
        <f aca="false">IF(X8="","",MIN(X8,Supuestos!$F$5))</f>
        <v/>
      </c>
      <c r="Z8" s="39" t="str">
        <f aca="false">IF(OR(V8="",Y8=""),"",V8-Y8)</f>
        <v/>
      </c>
      <c r="AA8" s="15" t="str">
        <f aca="false">IF(Z8="","",COUNTIF($Z$6:$Z$21,"&lt;"&amp;Z8)+1)</f>
        <v/>
      </c>
      <c r="AB8" s="15" t="str">
        <f aca="false">IF(Z8="","",COUNTIF($Z$6:$Z$21,Z8))</f>
        <v/>
      </c>
      <c r="AC8" s="40" t="str">
        <f aca="false">IF(Z8="","",ROUND(SUMPRODUCT((Supuestos!$A$5:$A$28&gt;=AA8)*(Supuestos!$A$5:$A$28&lt;AA8+AB8)*Supuestos!$B$5:$B$28)/AB8*Supuestos!$F$6,0))</f>
        <v/>
      </c>
      <c r="AD8" s="15" t="n">
        <f aca="false">IF(0=1,0,IFERROR(INDEX(Jugadores!$E$5:$E$21,MATCH(A8,Jugadores!$A$5:$A$21,0)),0))</f>
        <v>1</v>
      </c>
      <c r="AE8" s="31" t="n">
        <f aca="false">IF(OR(AC8="",AD8=0),0,AC8)</f>
        <v>0</v>
      </c>
      <c r="AF8" s="15" t="str">
        <f aca="false">IF(COUNT(D8:U8)&lt;18,"",SUMPRODUCT(--((D8:U8)-$D$4:$U$4&lt;=-2)))</f>
        <v/>
      </c>
      <c r="AG8" s="15" t="str">
        <f aca="false">IF(COUNT(D8:U8)&lt;18,"",SUMPRODUCT(--((D8:U8)-$D$4:$U$4=-1)))</f>
        <v/>
      </c>
      <c r="AH8" s="15" t="str">
        <f aca="false">IF(COUNT(D8:U8)&lt;18,"",SUMPRODUCT(--((D8:U8)-$D$4:$U$4=0)))</f>
        <v/>
      </c>
      <c r="AI8" s="15" t="str">
        <f aca="false">IF(COUNT(D8:U8)&lt;18,"",SUMPRODUCT(--((D8:U8)-$D$4:$U$4=1)))</f>
        <v/>
      </c>
      <c r="AJ8" s="15" t="str">
        <f aca="false">IF(COUNT(D8:U8)&lt;18,"",SUMPRODUCT(--((D8:U8)-$D$4:$U$4&gt;=2)))</f>
        <v/>
      </c>
    </row>
    <row r="9" customFormat="false" ht="15" hidden="false" customHeight="false" outlineLevel="0" collapsed="false">
      <c r="A9" s="36" t="s">
        <v>57</v>
      </c>
      <c r="B9" s="37" t="s">
        <v>58</v>
      </c>
      <c r="C9" s="38" t="s">
        <v>52</v>
      </c>
      <c r="D9" s="38" t="n">
        <v>4</v>
      </c>
      <c r="E9" s="38" t="n">
        <v>7</v>
      </c>
      <c r="F9" s="38" t="n">
        <v>4</v>
      </c>
      <c r="G9" s="38" t="n">
        <v>3</v>
      </c>
      <c r="H9" s="38" t="n">
        <v>8</v>
      </c>
      <c r="I9" s="38" t="n">
        <v>6</v>
      </c>
      <c r="J9" s="38" t="n">
        <v>5</v>
      </c>
      <c r="K9" s="38" t="n">
        <v>5</v>
      </c>
      <c r="L9" s="38" t="n">
        <v>3</v>
      </c>
      <c r="M9" s="38" t="n">
        <v>5</v>
      </c>
      <c r="N9" s="38" t="n">
        <v>5</v>
      </c>
      <c r="O9" s="38" t="n">
        <v>4</v>
      </c>
      <c r="P9" s="38" t="n">
        <v>4</v>
      </c>
      <c r="Q9" s="38" t="n">
        <v>5</v>
      </c>
      <c r="R9" s="38" t="n">
        <v>8</v>
      </c>
      <c r="S9" s="38" t="n">
        <v>4</v>
      </c>
      <c r="T9" s="38" t="n">
        <v>6</v>
      </c>
      <c r="U9" s="38" t="n">
        <v>7</v>
      </c>
      <c r="V9" s="39" t="n">
        <f aca="false">IF(COUNT(D9:U9)=18,SUM(D9:U9),IF(W9="","",W9))</f>
        <v>93</v>
      </c>
      <c r="W9" s="20"/>
      <c r="X9" s="38" t="n">
        <v>15</v>
      </c>
      <c r="Y9" s="15" t="n">
        <f aca="false">IF(X9="","",MIN(X9,Supuestos!$F$5))</f>
        <v>15</v>
      </c>
      <c r="Z9" s="39" t="n">
        <f aca="false">IF(OR(V9="",Y9=""),"",V9-Y9)</f>
        <v>78</v>
      </c>
      <c r="AA9" s="15" t="n">
        <f aca="false">IF(Z9="","",COUNTIF($Z$6:$Z$21,"&lt;"&amp;Z9)+1)</f>
        <v>3</v>
      </c>
      <c r="AB9" s="15" t="n">
        <f aca="false">IF(Z9="","",COUNTIF($Z$6:$Z$21,Z9))</f>
        <v>3</v>
      </c>
      <c r="AC9" s="40" t="n">
        <f aca="false">IF(Z9="","",ROUND(SUMPRODUCT((Supuestos!$A$5:$A$28&gt;=AA9)*(Supuestos!$A$5:$A$28&lt;AA9+AB9)*Supuestos!$B$5:$B$28)/AB9*Supuestos!$F$6,0))</f>
        <v>157</v>
      </c>
      <c r="AD9" s="15" t="n">
        <f aca="false">IF(0=1,0,IFERROR(INDEX(Jugadores!$E$5:$E$21,MATCH(A9,Jugadores!$A$5:$A$21,0)),0))</f>
        <v>1</v>
      </c>
      <c r="AE9" s="31" t="n">
        <f aca="false">IF(OR(AC9="",AD9=0),0,AC9)</f>
        <v>157</v>
      </c>
      <c r="AF9" s="15" t="n">
        <f aca="false">IF(COUNT(D9:U9)&lt;18,"",SUMPRODUCT(--((D9:U9)-$D$4:$U$4&lt;=-2)))</f>
        <v>0</v>
      </c>
      <c r="AG9" s="15" t="n">
        <f aca="false">IF(COUNT(D9:U9)&lt;18,"",SUMPRODUCT(--((D9:U9)-$D$4:$U$4=-1)))</f>
        <v>0</v>
      </c>
      <c r="AH9" s="15" t="n">
        <f aca="false">IF(COUNT(D9:U9)&lt;18,"",SUMPRODUCT(--((D9:U9)-$D$4:$U$4=0)))</f>
        <v>8</v>
      </c>
      <c r="AI9" s="15" t="n">
        <f aca="false">IF(COUNT(D9:U9)&lt;18,"",SUMPRODUCT(--((D9:U9)-$D$4:$U$4=1)))</f>
        <v>5</v>
      </c>
      <c r="AJ9" s="15" t="n">
        <f aca="false">IF(COUNT(D9:U9)&lt;18,"",SUMPRODUCT(--((D9:U9)-$D$4:$U$4&gt;=2)))</f>
        <v>5</v>
      </c>
    </row>
    <row r="10" customFormat="false" ht="15" hidden="false" customHeight="false" outlineLevel="0" collapsed="false">
      <c r="A10" s="36" t="s">
        <v>61</v>
      </c>
      <c r="B10" s="37" t="s">
        <v>62</v>
      </c>
      <c r="C10" s="38" t="s">
        <v>52</v>
      </c>
      <c r="D10" s="38" t="n">
        <v>4</v>
      </c>
      <c r="E10" s="38" t="n">
        <v>9</v>
      </c>
      <c r="F10" s="38" t="n">
        <v>4</v>
      </c>
      <c r="G10" s="38" t="n">
        <v>5</v>
      </c>
      <c r="H10" s="38" t="n">
        <v>4</v>
      </c>
      <c r="I10" s="38" t="n">
        <v>9</v>
      </c>
      <c r="J10" s="38" t="n">
        <v>7</v>
      </c>
      <c r="K10" s="38" t="n">
        <v>8</v>
      </c>
      <c r="L10" s="38" t="n">
        <v>6</v>
      </c>
      <c r="M10" s="38" t="n">
        <v>8</v>
      </c>
      <c r="N10" s="38" t="n">
        <v>5</v>
      </c>
      <c r="O10" s="38" t="n">
        <v>5</v>
      </c>
      <c r="P10" s="38" t="n">
        <v>4</v>
      </c>
      <c r="Q10" s="38" t="n">
        <v>5</v>
      </c>
      <c r="R10" s="38" t="n">
        <v>6</v>
      </c>
      <c r="S10" s="38" t="n">
        <v>6</v>
      </c>
      <c r="T10" s="38" t="n">
        <v>3</v>
      </c>
      <c r="U10" s="38" t="n">
        <v>5</v>
      </c>
      <c r="V10" s="39" t="n">
        <f aca="false">IF(COUNT(D10:U10)=18,SUM(D10:U10),IF(W10="","",W10))</f>
        <v>103</v>
      </c>
      <c r="W10" s="20"/>
      <c r="X10" s="38" t="n">
        <v>23</v>
      </c>
      <c r="Y10" s="15" t="n">
        <f aca="false">IF(X10="","",MIN(X10,Supuestos!$F$5))</f>
        <v>23</v>
      </c>
      <c r="Z10" s="39" t="n">
        <f aca="false">IF(OR(V10="",Y10=""),"",V10-Y10)</f>
        <v>80</v>
      </c>
      <c r="AA10" s="15" t="n">
        <f aca="false">IF(Z10="","",COUNTIF($Z$6:$Z$21,"&lt;"&amp;Z10)+1)</f>
        <v>6</v>
      </c>
      <c r="AB10" s="15" t="n">
        <f aca="false">IF(Z10="","",COUNTIF($Z$6:$Z$21,Z10))</f>
        <v>1</v>
      </c>
      <c r="AC10" s="40" t="n">
        <f aca="false">IF(Z10="","",ROUND(SUMPRODUCT((Supuestos!$A$5:$A$28&gt;=AA10)*(Supuestos!$A$5:$A$28&lt;AA10+AB10)*Supuestos!$B$5:$B$28)/AB10*Supuestos!$F$6,0))</f>
        <v>100</v>
      </c>
      <c r="AD10" s="15" t="n">
        <f aca="false">IF(0=1,0,IFERROR(INDEX(Jugadores!$E$5:$E$21,MATCH(A10,Jugadores!$A$5:$A$21,0)),0))</f>
        <v>1</v>
      </c>
      <c r="AE10" s="31" t="n">
        <f aca="false">IF(OR(AC10="",AD10=0),0,AC10)</f>
        <v>100</v>
      </c>
      <c r="AF10" s="15" t="n">
        <f aca="false">IF(COUNT(D10:U10)&lt;18,"",SUMPRODUCT(--((D10:U10)-$D$4:$U$4&lt;=-2)))</f>
        <v>0</v>
      </c>
      <c r="AG10" s="15" t="n">
        <f aca="false">IF(COUNT(D10:U10)&lt;18,"",SUMPRODUCT(--((D10:U10)-$D$4:$U$4=-1)))</f>
        <v>0</v>
      </c>
      <c r="AH10" s="15" t="n">
        <f aca="false">IF(COUNT(D10:U10)&lt;18,"",SUMPRODUCT(--((D10:U10)-$D$4:$U$4=0)))</f>
        <v>6</v>
      </c>
      <c r="AI10" s="15" t="n">
        <f aca="false">IF(COUNT(D10:U10)&lt;18,"",SUMPRODUCT(--((D10:U10)-$D$4:$U$4=1)))</f>
        <v>3</v>
      </c>
      <c r="AJ10" s="15" t="n">
        <f aca="false">IF(COUNT(D10:U10)&lt;18,"",SUMPRODUCT(--((D10:U10)-$D$4:$U$4&gt;=2)))</f>
        <v>9</v>
      </c>
    </row>
    <row r="11" customFormat="false" ht="15" hidden="false" customHeight="false" outlineLevel="0" collapsed="false">
      <c r="A11" s="36" t="s">
        <v>63</v>
      </c>
      <c r="B11" s="37" t="s">
        <v>64</v>
      </c>
      <c r="C11" s="38" t="s">
        <v>52</v>
      </c>
      <c r="D11" s="38" t="n">
        <v>6</v>
      </c>
      <c r="E11" s="38" t="n">
        <v>7</v>
      </c>
      <c r="F11" s="38" t="n">
        <v>5</v>
      </c>
      <c r="G11" s="38" t="n">
        <v>4</v>
      </c>
      <c r="H11" s="38" t="n">
        <v>5</v>
      </c>
      <c r="I11" s="38" t="n">
        <v>5</v>
      </c>
      <c r="J11" s="38" t="n">
        <v>7</v>
      </c>
      <c r="K11" s="38" t="n">
        <v>6</v>
      </c>
      <c r="L11" s="38" t="n">
        <v>6</v>
      </c>
      <c r="M11" s="38" t="n">
        <v>7</v>
      </c>
      <c r="N11" s="38" t="n">
        <v>6</v>
      </c>
      <c r="O11" s="38" t="n">
        <v>5</v>
      </c>
      <c r="P11" s="38" t="n">
        <v>5</v>
      </c>
      <c r="Q11" s="38" t="n">
        <v>5</v>
      </c>
      <c r="R11" s="38" t="n">
        <v>6</v>
      </c>
      <c r="S11" s="38" t="n">
        <v>5</v>
      </c>
      <c r="T11" s="38" t="n">
        <v>4</v>
      </c>
      <c r="U11" s="38" t="n">
        <v>7</v>
      </c>
      <c r="V11" s="39" t="n">
        <f aca="false">IF(COUNT(D11:U11)=18,SUM(D11:U11),IF(W11="","",W11))</f>
        <v>101</v>
      </c>
      <c r="W11" s="20"/>
      <c r="X11" s="38" t="n">
        <v>23</v>
      </c>
      <c r="Y11" s="15" t="n">
        <f aca="false">IF(X11="","",MIN(X11,Supuestos!$F$5))</f>
        <v>23</v>
      </c>
      <c r="Z11" s="39" t="n">
        <f aca="false">IF(OR(V11="",Y11=""),"",V11-Y11)</f>
        <v>78</v>
      </c>
      <c r="AA11" s="15" t="n">
        <f aca="false">IF(Z11="","",COUNTIF($Z$6:$Z$21,"&lt;"&amp;Z11)+1)</f>
        <v>3</v>
      </c>
      <c r="AB11" s="15" t="n">
        <f aca="false">IF(Z11="","",COUNTIF($Z$6:$Z$21,Z11))</f>
        <v>3</v>
      </c>
      <c r="AC11" s="40" t="n">
        <f aca="false">IF(Z11="","",ROUND(SUMPRODUCT((Supuestos!$A$5:$A$28&gt;=AA11)*(Supuestos!$A$5:$A$28&lt;AA11+AB11)*Supuestos!$B$5:$B$28)/AB11*Supuestos!$F$6,0))</f>
        <v>157</v>
      </c>
      <c r="AD11" s="15" t="n">
        <f aca="false">IF(0=1,0,IFERROR(INDEX(Jugadores!$E$5:$E$21,MATCH(A11,Jugadores!$A$5:$A$21,0)),0))</f>
        <v>1</v>
      </c>
      <c r="AE11" s="31" t="n">
        <f aca="false">IF(OR(AC11="",AD11=0),0,AC11)</f>
        <v>157</v>
      </c>
      <c r="AF11" s="15" t="n">
        <f aca="false">IF(COUNT(D11:U11)&lt;18,"",SUMPRODUCT(--((D11:U11)-$D$4:$U$4&lt;=-2)))</f>
        <v>0</v>
      </c>
      <c r="AG11" s="15" t="n">
        <f aca="false">IF(COUNT(D11:U11)&lt;18,"",SUMPRODUCT(--((D11:U11)-$D$4:$U$4=-1)))</f>
        <v>0</v>
      </c>
      <c r="AH11" s="15" t="n">
        <f aca="false">IF(COUNT(D11:U11)&lt;18,"",SUMPRODUCT(--((D11:U11)-$D$4:$U$4=0)))</f>
        <v>1</v>
      </c>
      <c r="AI11" s="15" t="n">
        <f aca="false">IF(COUNT(D11:U11)&lt;18,"",SUMPRODUCT(--((D11:U11)-$D$4:$U$4=1)))</f>
        <v>8</v>
      </c>
      <c r="AJ11" s="15" t="n">
        <f aca="false">IF(COUNT(D11:U11)&lt;18,"",SUMPRODUCT(--((D11:U11)-$D$4:$U$4&gt;=2)))</f>
        <v>9</v>
      </c>
    </row>
    <row r="12" customFormat="false" ht="15" hidden="false" customHeight="false" outlineLevel="0" collapsed="false">
      <c r="A12" s="36" t="s">
        <v>65</v>
      </c>
      <c r="B12" s="37" t="s">
        <v>66</v>
      </c>
      <c r="C12" s="38" t="s">
        <v>52</v>
      </c>
      <c r="D12" s="38" t="n">
        <v>11</v>
      </c>
      <c r="E12" s="38" t="n">
        <v>7</v>
      </c>
      <c r="F12" s="38" t="n">
        <v>5</v>
      </c>
      <c r="G12" s="38" t="n">
        <v>7</v>
      </c>
      <c r="H12" s="38" t="n">
        <v>5</v>
      </c>
      <c r="I12" s="38" t="n">
        <v>8</v>
      </c>
      <c r="J12" s="38" t="n">
        <v>4</v>
      </c>
      <c r="K12" s="38" t="n">
        <v>7</v>
      </c>
      <c r="L12" s="38" t="n">
        <v>5</v>
      </c>
      <c r="M12" s="38" t="n">
        <v>8</v>
      </c>
      <c r="N12" s="38" t="n">
        <v>5</v>
      </c>
      <c r="O12" s="38" t="n">
        <v>6</v>
      </c>
      <c r="P12" s="38" t="n">
        <v>7</v>
      </c>
      <c r="Q12" s="38" t="n">
        <v>6</v>
      </c>
      <c r="R12" s="38" t="n">
        <v>6</v>
      </c>
      <c r="S12" s="38" t="n">
        <v>6</v>
      </c>
      <c r="T12" s="38" t="n">
        <v>4</v>
      </c>
      <c r="U12" s="38" t="n">
        <v>7</v>
      </c>
      <c r="V12" s="39" t="n">
        <f aca="false">IF(COUNT(D12:U12)=18,SUM(D12:U12),IF(W12="","",W12))</f>
        <v>114</v>
      </c>
      <c r="W12" s="20"/>
      <c r="X12" s="38" t="n">
        <v>30</v>
      </c>
      <c r="Y12" s="15" t="n">
        <f aca="false">IF(X12="","",MIN(X12,Supuestos!$F$5))</f>
        <v>26</v>
      </c>
      <c r="Z12" s="39" t="n">
        <f aca="false">IF(OR(V12="",Y12=""),"",V12-Y12)</f>
        <v>88</v>
      </c>
      <c r="AA12" s="15" t="n">
        <f aca="false">IF(Z12="","",COUNTIF($Z$6:$Z$21,"&lt;"&amp;Z12)+1)</f>
        <v>12</v>
      </c>
      <c r="AB12" s="15" t="n">
        <f aca="false">IF(Z12="","",COUNTIF($Z$6:$Z$21,Z12))</f>
        <v>1</v>
      </c>
      <c r="AC12" s="40" t="n">
        <f aca="false">IF(Z12="","",ROUND(SUMPRODUCT((Supuestos!$A$5:$A$28&gt;=AA12)*(Supuestos!$A$5:$A$28&lt;AA12+AB12)*Supuestos!$B$5:$B$28)/AB12*Supuestos!$F$6,0))</f>
        <v>20</v>
      </c>
      <c r="AD12" s="15" t="n">
        <f aca="false">IF(0=1,0,IFERROR(INDEX(Jugadores!$E$5:$E$21,MATCH(A12,Jugadores!$A$5:$A$21,0)),0))</f>
        <v>1</v>
      </c>
      <c r="AE12" s="31" t="n">
        <f aca="false">IF(OR(AC12="",AD12=0),0,AC12)</f>
        <v>20</v>
      </c>
      <c r="AF12" s="15" t="n">
        <f aca="false">IF(COUNT(D12:U12)&lt;18,"",SUMPRODUCT(--((D12:U12)-$D$4:$U$4&lt;=-2)))</f>
        <v>0</v>
      </c>
      <c r="AG12" s="15" t="n">
        <f aca="false">IF(COUNT(D12:U12)&lt;18,"",SUMPRODUCT(--((D12:U12)-$D$4:$U$4=-1)))</f>
        <v>0</v>
      </c>
      <c r="AH12" s="15" t="n">
        <f aca="false">IF(COUNT(D12:U12)&lt;18,"",SUMPRODUCT(--((D12:U12)-$D$4:$U$4=0)))</f>
        <v>1</v>
      </c>
      <c r="AI12" s="15" t="n">
        <f aca="false">IF(COUNT(D12:U12)&lt;18,"",SUMPRODUCT(--((D12:U12)-$D$4:$U$4=1)))</f>
        <v>4</v>
      </c>
      <c r="AJ12" s="15" t="n">
        <f aca="false">IF(COUNT(D12:U12)&lt;18,"",SUMPRODUCT(--((D12:U12)-$D$4:$U$4&gt;=2)))</f>
        <v>13</v>
      </c>
    </row>
    <row r="13" customFormat="false" ht="15" hidden="false" customHeight="false" outlineLevel="0" collapsed="false">
      <c r="A13" s="36" t="s">
        <v>67</v>
      </c>
      <c r="B13" s="37" t="s">
        <v>68</v>
      </c>
      <c r="C13" s="38" t="s">
        <v>69</v>
      </c>
      <c r="D13" s="38" t="n">
        <v>6</v>
      </c>
      <c r="E13" s="38" t="n">
        <v>7</v>
      </c>
      <c r="F13" s="38" t="n">
        <v>4</v>
      </c>
      <c r="G13" s="38" t="n">
        <v>4</v>
      </c>
      <c r="H13" s="38" t="n">
        <v>6</v>
      </c>
      <c r="I13" s="38" t="n">
        <v>4</v>
      </c>
      <c r="J13" s="38" t="n">
        <v>4</v>
      </c>
      <c r="K13" s="38" t="n">
        <v>4</v>
      </c>
      <c r="L13" s="38" t="n">
        <v>4</v>
      </c>
      <c r="M13" s="38" t="n">
        <v>6</v>
      </c>
      <c r="N13" s="38" t="n">
        <v>6</v>
      </c>
      <c r="O13" s="38" t="n">
        <v>3</v>
      </c>
      <c r="P13" s="38" t="n">
        <v>6</v>
      </c>
      <c r="Q13" s="38" t="n">
        <v>5</v>
      </c>
      <c r="R13" s="38" t="n">
        <v>3</v>
      </c>
      <c r="S13" s="38" t="n">
        <v>4</v>
      </c>
      <c r="T13" s="38" t="n">
        <v>3</v>
      </c>
      <c r="U13" s="38" t="n">
        <v>6</v>
      </c>
      <c r="V13" s="39" t="n">
        <f aca="false">IF(COUNT(D13:U13)=18,SUM(D13:U13),IF(W13="","",W13))</f>
        <v>85</v>
      </c>
      <c r="W13" s="20"/>
      <c r="X13" s="38" t="n">
        <v>7</v>
      </c>
      <c r="Y13" s="15" t="n">
        <f aca="false">IF(X13="","",MIN(X13,Supuestos!$F$5))</f>
        <v>7</v>
      </c>
      <c r="Z13" s="39" t="n">
        <f aca="false">IF(OR(V13="",Y13=""),"",V13-Y13)</f>
        <v>78</v>
      </c>
      <c r="AA13" s="15" t="n">
        <f aca="false">IF(Z13="","",COUNTIF($Z$6:$Z$21,"&lt;"&amp;Z13)+1)</f>
        <v>3</v>
      </c>
      <c r="AB13" s="15" t="n">
        <f aca="false">IF(Z13="","",COUNTIF($Z$6:$Z$21,Z13))</f>
        <v>3</v>
      </c>
      <c r="AC13" s="40" t="n">
        <f aca="false">IF(Z13="","",ROUND(SUMPRODUCT((Supuestos!$A$5:$A$28&gt;=AA13)*(Supuestos!$A$5:$A$28&lt;AA13+AB13)*Supuestos!$B$5:$B$28)/AB13*Supuestos!$F$6,0))</f>
        <v>157</v>
      </c>
      <c r="AD13" s="15" t="n">
        <f aca="false">IF(0=1,0,IFERROR(INDEX(Jugadores!$E$5:$E$21,MATCH(A13,Jugadores!$A$5:$A$21,0)),0))</f>
        <v>1</v>
      </c>
      <c r="AE13" s="31" t="n">
        <f aca="false">IF(OR(AC13="",AD13=0),0,AC13)</f>
        <v>157</v>
      </c>
      <c r="AF13" s="15" t="n">
        <f aca="false">IF(COUNT(D13:U13)&lt;18,"",SUMPRODUCT(--((D13:U13)-$D$4:$U$4&lt;=-2)))</f>
        <v>0</v>
      </c>
      <c r="AG13" s="15" t="n">
        <f aca="false">IF(COUNT(D13:U13)&lt;18,"",SUMPRODUCT(--((D13:U13)-$D$4:$U$4=-1)))</f>
        <v>2</v>
      </c>
      <c r="AH13" s="15" t="n">
        <f aca="false">IF(COUNT(D13:U13)&lt;18,"",SUMPRODUCT(--((D13:U13)-$D$4:$U$4=0)))</f>
        <v>6</v>
      </c>
      <c r="AI13" s="15" t="n">
        <f aca="false">IF(COUNT(D13:U13)&lt;18,"",SUMPRODUCT(--((D13:U13)-$D$4:$U$4=1)))</f>
        <v>5</v>
      </c>
      <c r="AJ13" s="15" t="n">
        <f aca="false">IF(COUNT(D13:U13)&lt;18,"",SUMPRODUCT(--((D13:U13)-$D$4:$U$4&gt;=2)))</f>
        <v>5</v>
      </c>
    </row>
    <row r="14" customFormat="false" ht="15" hidden="false" customHeight="false" outlineLevel="0" collapsed="false">
      <c r="A14" s="36" t="s">
        <v>70</v>
      </c>
      <c r="B14" s="37" t="s">
        <v>71</v>
      </c>
      <c r="C14" s="38" t="s">
        <v>69</v>
      </c>
      <c r="D14" s="38" t="n">
        <v>5</v>
      </c>
      <c r="E14" s="38" t="n">
        <v>5</v>
      </c>
      <c r="F14" s="38" t="n">
        <v>4</v>
      </c>
      <c r="G14" s="38" t="n">
        <v>4</v>
      </c>
      <c r="H14" s="38" t="n">
        <v>5</v>
      </c>
      <c r="I14" s="38" t="n">
        <v>5</v>
      </c>
      <c r="J14" s="38" t="n">
        <v>5</v>
      </c>
      <c r="K14" s="38" t="n">
        <v>6</v>
      </c>
      <c r="L14" s="38" t="n">
        <v>3</v>
      </c>
      <c r="M14" s="38" t="n">
        <v>6</v>
      </c>
      <c r="N14" s="38" t="n">
        <v>5</v>
      </c>
      <c r="O14" s="38" t="n">
        <v>4</v>
      </c>
      <c r="P14" s="38" t="n">
        <v>5</v>
      </c>
      <c r="Q14" s="38" t="n">
        <v>4</v>
      </c>
      <c r="R14" s="38" t="n">
        <v>3</v>
      </c>
      <c r="S14" s="38" t="n">
        <v>4</v>
      </c>
      <c r="T14" s="38" t="n">
        <v>3</v>
      </c>
      <c r="U14" s="38" t="n">
        <v>10</v>
      </c>
      <c r="V14" s="39" t="n">
        <f aca="false">IF(COUNT(D14:U14)=18,SUM(D14:U14),IF(W14="","",W14))</f>
        <v>86</v>
      </c>
      <c r="W14" s="20"/>
      <c r="X14" s="38" t="n">
        <v>12</v>
      </c>
      <c r="Y14" s="15" t="n">
        <f aca="false">IF(X14="","",MIN(X14,Supuestos!$F$5))</f>
        <v>12</v>
      </c>
      <c r="Z14" s="39" t="n">
        <f aca="false">IF(OR(V14="",Y14=""),"",V14-Y14)</f>
        <v>74</v>
      </c>
      <c r="AA14" s="15" t="n">
        <f aca="false">IF(Z14="","",COUNTIF($Z$6:$Z$21,"&lt;"&amp;Z14)+1)</f>
        <v>1</v>
      </c>
      <c r="AB14" s="15" t="n">
        <f aca="false">IF(Z14="","",COUNTIF($Z$6:$Z$21,Z14))</f>
        <v>1</v>
      </c>
      <c r="AC14" s="40" t="n">
        <f aca="false">IF(Z14="","",ROUND(SUMPRODUCT((Supuestos!$A$5:$A$28&gt;=AA14)*(Supuestos!$A$5:$A$28&lt;AA14+AB14)*Supuestos!$B$5:$B$28)/AB14*Supuestos!$F$6,0))</f>
        <v>500</v>
      </c>
      <c r="AD14" s="15" t="n">
        <f aca="false">IF(0=1,0,IFERROR(INDEX(Jugadores!$E$5:$E$21,MATCH(A14,Jugadores!$A$5:$A$21,0)),0))</f>
        <v>1</v>
      </c>
      <c r="AE14" s="31" t="n">
        <f aca="false">IF(OR(AC14="",AD14=0),0,AC14)</f>
        <v>500</v>
      </c>
      <c r="AF14" s="15" t="n">
        <f aca="false">IF(COUNT(D14:U14)&lt;18,"",SUMPRODUCT(--((D14:U14)-$D$4:$U$4&lt;=-2)))</f>
        <v>0</v>
      </c>
      <c r="AG14" s="15" t="n">
        <f aca="false">IF(COUNT(D14:U14)&lt;18,"",SUMPRODUCT(--((D14:U14)-$D$4:$U$4=-1)))</f>
        <v>0</v>
      </c>
      <c r="AH14" s="15" t="n">
        <f aca="false">IF(COUNT(D14:U14)&lt;18,"",SUMPRODUCT(--((D14:U14)-$D$4:$U$4=0)))</f>
        <v>9</v>
      </c>
      <c r="AI14" s="15" t="n">
        <f aca="false">IF(COUNT(D14:U14)&lt;18,"",SUMPRODUCT(--((D14:U14)-$D$4:$U$4=1)))</f>
        <v>7</v>
      </c>
      <c r="AJ14" s="15" t="n">
        <f aca="false">IF(COUNT(D14:U14)&lt;18,"",SUMPRODUCT(--((D14:U14)-$D$4:$U$4&gt;=2)))</f>
        <v>2</v>
      </c>
    </row>
    <row r="15" customFormat="false" ht="15" hidden="false" customHeight="false" outlineLevel="0" collapsed="false">
      <c r="A15" s="36" t="s">
        <v>72</v>
      </c>
      <c r="B15" s="37" t="s">
        <v>73</v>
      </c>
      <c r="C15" s="38" t="s">
        <v>69</v>
      </c>
      <c r="D15" s="38" t="n">
        <v>5</v>
      </c>
      <c r="E15" s="38" t="n">
        <v>7</v>
      </c>
      <c r="F15" s="38" t="n">
        <v>4</v>
      </c>
      <c r="G15" s="38" t="n">
        <v>4</v>
      </c>
      <c r="H15" s="38" t="n">
        <v>4</v>
      </c>
      <c r="I15" s="38" t="n">
        <v>5</v>
      </c>
      <c r="J15" s="38" t="n">
        <v>9</v>
      </c>
      <c r="K15" s="38" t="n">
        <v>6</v>
      </c>
      <c r="L15" s="38" t="n">
        <v>7</v>
      </c>
      <c r="M15" s="38" t="n">
        <v>6</v>
      </c>
      <c r="N15" s="38" t="n">
        <v>5</v>
      </c>
      <c r="O15" s="38" t="n">
        <v>5</v>
      </c>
      <c r="P15" s="38" t="n">
        <v>5</v>
      </c>
      <c r="Q15" s="38" t="n">
        <v>8</v>
      </c>
      <c r="R15" s="38" t="n">
        <v>7</v>
      </c>
      <c r="S15" s="38" t="n">
        <v>5</v>
      </c>
      <c r="T15" s="38" t="n">
        <v>4</v>
      </c>
      <c r="U15" s="38" t="n">
        <v>5</v>
      </c>
      <c r="V15" s="39" t="n">
        <f aca="false">IF(COUNT(D15:U15)=18,SUM(D15:U15),IF(W15="","",W15))</f>
        <v>101</v>
      </c>
      <c r="W15" s="20"/>
      <c r="X15" s="38" t="n">
        <v>18</v>
      </c>
      <c r="Y15" s="15" t="n">
        <f aca="false">IF(X15="","",MIN(X15,Supuestos!$F$5))</f>
        <v>18</v>
      </c>
      <c r="Z15" s="39" t="n">
        <f aca="false">IF(OR(V15="",Y15=""),"",V15-Y15)</f>
        <v>83</v>
      </c>
      <c r="AA15" s="15" t="n">
        <f aca="false">IF(Z15="","",COUNTIF($Z$6:$Z$21,"&lt;"&amp;Z15)+1)</f>
        <v>10</v>
      </c>
      <c r="AB15" s="15" t="n">
        <f aca="false">IF(Z15="","",COUNTIF($Z$6:$Z$21,Z15))</f>
        <v>2</v>
      </c>
      <c r="AC15" s="40" t="n">
        <f aca="false">IF(Z15="","",ROUND(SUMPRODUCT((Supuestos!$A$5:$A$28&gt;=AA15)*(Supuestos!$A$5:$A$28&lt;AA15+AB15)*Supuestos!$B$5:$B$28)/AB15*Supuestos!$F$6,0))</f>
        <v>45</v>
      </c>
      <c r="AD15" s="15" t="n">
        <f aca="false">IF(0=1,0,IFERROR(INDEX(Jugadores!$E$5:$E$21,MATCH(A15,Jugadores!$A$5:$A$21,0)),0))</f>
        <v>1</v>
      </c>
      <c r="AE15" s="31" t="n">
        <f aca="false">IF(OR(AC15="",AD15=0),0,AC15)</f>
        <v>45</v>
      </c>
      <c r="AF15" s="15" t="n">
        <f aca="false">IF(COUNT(D15:U15)&lt;18,"",SUMPRODUCT(--((D15:U15)-$D$4:$U$4&lt;=-2)))</f>
        <v>0</v>
      </c>
      <c r="AG15" s="15" t="n">
        <f aca="false">IF(COUNT(D15:U15)&lt;18,"",SUMPRODUCT(--((D15:U15)-$D$4:$U$4=-1)))</f>
        <v>0</v>
      </c>
      <c r="AH15" s="15" t="n">
        <f aca="false">IF(COUNT(D15:U15)&lt;18,"",SUMPRODUCT(--((D15:U15)-$D$4:$U$4=0)))</f>
        <v>4</v>
      </c>
      <c r="AI15" s="15" t="n">
        <f aca="false">IF(COUNT(D15:U15)&lt;18,"",SUMPRODUCT(--((D15:U15)-$D$4:$U$4=1)))</f>
        <v>8</v>
      </c>
      <c r="AJ15" s="15" t="n">
        <f aca="false">IF(COUNT(D15:U15)&lt;18,"",SUMPRODUCT(--((D15:U15)-$D$4:$U$4&gt;=2)))</f>
        <v>6</v>
      </c>
    </row>
    <row r="16" customFormat="false" ht="15" hidden="false" customHeight="false" outlineLevel="0" collapsed="false">
      <c r="A16" s="36" t="s">
        <v>74</v>
      </c>
      <c r="B16" s="37" t="s">
        <v>75</v>
      </c>
      <c r="C16" s="38" t="s">
        <v>69</v>
      </c>
      <c r="D16" s="38" t="n">
        <v>5</v>
      </c>
      <c r="E16" s="38" t="n">
        <v>5</v>
      </c>
      <c r="F16" s="38" t="n">
        <v>5</v>
      </c>
      <c r="G16" s="38" t="n">
        <v>4</v>
      </c>
      <c r="H16" s="38" t="n">
        <v>5</v>
      </c>
      <c r="I16" s="38" t="n">
        <v>6</v>
      </c>
      <c r="J16" s="38" t="n">
        <v>5</v>
      </c>
      <c r="K16" s="38" t="n">
        <v>6</v>
      </c>
      <c r="L16" s="38" t="n">
        <v>4</v>
      </c>
      <c r="M16" s="38" t="n">
        <v>5</v>
      </c>
      <c r="N16" s="38" t="n">
        <v>5</v>
      </c>
      <c r="O16" s="38" t="n">
        <v>5</v>
      </c>
      <c r="P16" s="38" t="n">
        <v>5</v>
      </c>
      <c r="Q16" s="38" t="n">
        <v>5</v>
      </c>
      <c r="R16" s="38" t="n">
        <v>4</v>
      </c>
      <c r="S16" s="38" t="n">
        <v>5</v>
      </c>
      <c r="T16" s="38" t="n">
        <v>5</v>
      </c>
      <c r="U16" s="38" t="n">
        <v>6</v>
      </c>
      <c r="V16" s="39" t="n">
        <f aca="false">IF(COUNT(D16:U16)=18,SUM(D16:U16),IF(W16="","",W16))</f>
        <v>90</v>
      </c>
      <c r="W16" s="20"/>
      <c r="X16" s="38" t="n">
        <v>14</v>
      </c>
      <c r="Y16" s="15" t="n">
        <f aca="false">IF(X16="","",MIN(X16,Supuestos!$F$5))</f>
        <v>14</v>
      </c>
      <c r="Z16" s="39" t="n">
        <f aca="false">IF(OR(V16="",Y16=""),"",V16-Y16)</f>
        <v>76</v>
      </c>
      <c r="AA16" s="15" t="n">
        <f aca="false">IF(Z16="","",COUNTIF($Z$6:$Z$21,"&lt;"&amp;Z16)+1)</f>
        <v>2</v>
      </c>
      <c r="AB16" s="15" t="n">
        <f aca="false">IF(Z16="","",COUNTIF($Z$6:$Z$21,Z16))</f>
        <v>1</v>
      </c>
      <c r="AC16" s="40" t="n">
        <f aca="false">IF(Z16="","",ROUND(SUMPRODUCT((Supuestos!$A$5:$A$28&gt;=AA16)*(Supuestos!$A$5:$A$28&lt;AA16+AB16)*Supuestos!$B$5:$B$28)/AB16*Supuestos!$F$6,0))</f>
        <v>300</v>
      </c>
      <c r="AD16" s="15" t="n">
        <f aca="false">IF(0=1,0,IFERROR(INDEX(Jugadores!$E$5:$E$21,MATCH(A16,Jugadores!$A$5:$A$21,0)),0))</f>
        <v>1</v>
      </c>
      <c r="AE16" s="31" t="n">
        <f aca="false">IF(OR(AC16="",AD16=0),0,AC16)</f>
        <v>300</v>
      </c>
      <c r="AF16" s="15" t="n">
        <f aca="false">IF(COUNT(D16:U16)&lt;18,"",SUMPRODUCT(--((D16:U16)-$D$4:$U$4&lt;=-2)))</f>
        <v>0</v>
      </c>
      <c r="AG16" s="15" t="n">
        <f aca="false">IF(COUNT(D16:U16)&lt;18,"",SUMPRODUCT(--((D16:U16)-$D$4:$U$4=-1)))</f>
        <v>0</v>
      </c>
      <c r="AH16" s="15" t="n">
        <f aca="false">IF(COUNT(D16:U16)&lt;18,"",SUMPRODUCT(--((D16:U16)-$D$4:$U$4=0)))</f>
        <v>2</v>
      </c>
      <c r="AI16" s="15" t="n">
        <f aca="false">IF(COUNT(D16:U16)&lt;18,"",SUMPRODUCT(--((D16:U16)-$D$4:$U$4=1)))</f>
        <v>14</v>
      </c>
      <c r="AJ16" s="15" t="n">
        <f aca="false">IF(COUNT(D16:U16)&lt;18,"",SUMPRODUCT(--((D16:U16)-$D$4:$U$4&gt;=2)))</f>
        <v>2</v>
      </c>
    </row>
    <row r="17" customFormat="false" ht="15" hidden="false" customHeight="false" outlineLevel="0" collapsed="false">
      <c r="A17" s="36" t="s">
        <v>76</v>
      </c>
      <c r="B17" s="37" t="s">
        <v>77</v>
      </c>
      <c r="C17" s="38" t="s">
        <v>69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39" t="str">
        <f aca="false">IF(COUNT(D17:U17)=18,SUM(D17:U17),IF(W17="","",W17))</f>
        <v/>
      </c>
      <c r="W17" s="20"/>
      <c r="X17" s="20"/>
      <c r="Y17" s="15" t="str">
        <f aca="false">IF(X17="","",MIN(X17,Supuestos!$F$5))</f>
        <v/>
      </c>
      <c r="Z17" s="39" t="str">
        <f aca="false">IF(OR(V17="",Y17=""),"",V17-Y17)</f>
        <v/>
      </c>
      <c r="AA17" s="15" t="str">
        <f aca="false">IF(Z17="","",COUNTIF($Z$6:$Z$21,"&lt;"&amp;Z17)+1)</f>
        <v/>
      </c>
      <c r="AB17" s="15" t="str">
        <f aca="false">IF(Z17="","",COUNTIF($Z$6:$Z$21,Z17))</f>
        <v/>
      </c>
      <c r="AC17" s="40" t="str">
        <f aca="false">IF(Z17="","",ROUND(SUMPRODUCT((Supuestos!$A$5:$A$28&gt;=AA17)*(Supuestos!$A$5:$A$28&lt;AA17+AB17)*Supuestos!$B$5:$B$28)/AB17*Supuestos!$F$6,0))</f>
        <v/>
      </c>
      <c r="AD17" s="15" t="n">
        <f aca="false">IF(0=1,0,IFERROR(INDEX(Jugadores!$E$5:$E$21,MATCH(A17,Jugadores!$A$5:$A$21,0)),0))</f>
        <v>1</v>
      </c>
      <c r="AE17" s="31" t="n">
        <f aca="false">IF(OR(AC17="",AD17=0),0,AC17)</f>
        <v>0</v>
      </c>
      <c r="AF17" s="15" t="str">
        <f aca="false">IF(COUNT(D17:U17)&lt;18,"",SUMPRODUCT(--((D17:U17)-$D$4:$U$4&lt;=-2)))</f>
        <v/>
      </c>
      <c r="AG17" s="15" t="str">
        <f aca="false">IF(COUNT(D17:U17)&lt;18,"",SUMPRODUCT(--((D17:U17)-$D$4:$U$4=-1)))</f>
        <v/>
      </c>
      <c r="AH17" s="15" t="str">
        <f aca="false">IF(COUNT(D17:U17)&lt;18,"",SUMPRODUCT(--((D17:U17)-$D$4:$U$4=0)))</f>
        <v/>
      </c>
      <c r="AI17" s="15" t="str">
        <f aca="false">IF(COUNT(D17:U17)&lt;18,"",SUMPRODUCT(--((D17:U17)-$D$4:$U$4=1)))</f>
        <v/>
      </c>
      <c r="AJ17" s="15" t="str">
        <f aca="false">IF(COUNT(D17:U17)&lt;18,"",SUMPRODUCT(--((D17:U17)-$D$4:$U$4&gt;=2)))</f>
        <v/>
      </c>
    </row>
    <row r="18" customFormat="false" ht="15" hidden="false" customHeight="false" outlineLevel="0" collapsed="false">
      <c r="A18" s="36" t="s">
        <v>82</v>
      </c>
      <c r="B18" s="37" t="s">
        <v>83</v>
      </c>
      <c r="C18" s="38" t="s">
        <v>69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39" t="str">
        <f aca="false">IF(COUNT(D18:U18)=18,SUM(D18:U18),IF(W18="","",W18))</f>
        <v/>
      </c>
      <c r="W18" s="20"/>
      <c r="X18" s="20"/>
      <c r="Y18" s="15" t="str">
        <f aca="false">IF(X18="","",MIN(X18,Supuestos!$F$5))</f>
        <v/>
      </c>
      <c r="Z18" s="39" t="str">
        <f aca="false">IF(OR(V18="",Y18=""),"",V18-Y18)</f>
        <v/>
      </c>
      <c r="AA18" s="15" t="str">
        <f aca="false">IF(Z18="","",COUNTIF($Z$6:$Z$21,"&lt;"&amp;Z18)+1)</f>
        <v/>
      </c>
      <c r="AB18" s="15" t="str">
        <f aca="false">IF(Z18="","",COUNTIF($Z$6:$Z$21,Z18))</f>
        <v/>
      </c>
      <c r="AC18" s="40" t="str">
        <f aca="false">IF(Z18="","",ROUND(SUMPRODUCT((Supuestos!$A$5:$A$28&gt;=AA18)*(Supuestos!$A$5:$A$28&lt;AA18+AB18)*Supuestos!$B$5:$B$28)/AB18*Supuestos!$F$6,0))</f>
        <v/>
      </c>
      <c r="AD18" s="15" t="n">
        <f aca="false">IF(0=1,0,IFERROR(INDEX(Jugadores!$E$5:$E$21,MATCH(A18,Jugadores!$A$5:$A$21,0)),0))</f>
        <v>1</v>
      </c>
      <c r="AE18" s="31" t="n">
        <f aca="false">IF(OR(AC18="",AD18=0),0,AC18)</f>
        <v>0</v>
      </c>
      <c r="AF18" s="15" t="str">
        <f aca="false">IF(COUNT(D18:U18)&lt;18,"",SUMPRODUCT(--((D18:U18)-$D$4:$U$4&lt;=-2)))</f>
        <v/>
      </c>
      <c r="AG18" s="15" t="str">
        <f aca="false">IF(COUNT(D18:U18)&lt;18,"",SUMPRODUCT(--((D18:U18)-$D$4:$U$4=-1)))</f>
        <v/>
      </c>
      <c r="AH18" s="15" t="str">
        <f aca="false">IF(COUNT(D18:U18)&lt;18,"",SUMPRODUCT(--((D18:U18)-$D$4:$U$4=0)))</f>
        <v/>
      </c>
      <c r="AI18" s="15" t="str">
        <f aca="false">IF(COUNT(D18:U18)&lt;18,"",SUMPRODUCT(--((D18:U18)-$D$4:$U$4=1)))</f>
        <v/>
      </c>
      <c r="AJ18" s="15" t="str">
        <f aca="false">IF(COUNT(D18:U18)&lt;18,"",SUMPRODUCT(--((D18:U18)-$D$4:$U$4&gt;=2)))</f>
        <v/>
      </c>
    </row>
    <row r="19" customFormat="false" ht="15" hidden="false" customHeight="false" outlineLevel="0" collapsed="false">
      <c r="A19" s="36" t="s">
        <v>173</v>
      </c>
      <c r="B19" s="37" t="s">
        <v>174</v>
      </c>
      <c r="C19" s="38" t="s">
        <v>52</v>
      </c>
      <c r="D19" s="38" t="n">
        <v>5</v>
      </c>
      <c r="E19" s="38" t="n">
        <v>6</v>
      </c>
      <c r="F19" s="38" t="n">
        <v>7</v>
      </c>
      <c r="G19" s="38" t="n">
        <v>5</v>
      </c>
      <c r="H19" s="38" t="n">
        <v>7</v>
      </c>
      <c r="I19" s="38" t="n">
        <v>6</v>
      </c>
      <c r="J19" s="38" t="n">
        <v>6</v>
      </c>
      <c r="K19" s="38" t="n">
        <v>6</v>
      </c>
      <c r="L19" s="38" t="n">
        <v>6</v>
      </c>
      <c r="M19" s="38" t="n">
        <v>6</v>
      </c>
      <c r="N19" s="38" t="n">
        <v>4</v>
      </c>
      <c r="O19" s="38" t="n">
        <v>5</v>
      </c>
      <c r="P19" s="38" t="n">
        <v>3</v>
      </c>
      <c r="Q19" s="38" t="n">
        <v>4</v>
      </c>
      <c r="R19" s="38" t="n">
        <v>4</v>
      </c>
      <c r="S19" s="38" t="n">
        <v>4</v>
      </c>
      <c r="T19" s="38" t="n">
        <v>3</v>
      </c>
      <c r="U19" s="38" t="n">
        <v>4</v>
      </c>
      <c r="V19" s="39" t="n">
        <f aca="false">IF(COUNT(D19:U19)=18,SUM(D19:U19),IF(W19="","",W19))</f>
        <v>91</v>
      </c>
      <c r="W19" s="20"/>
      <c r="X19" s="38" t="n">
        <v>10</v>
      </c>
      <c r="Y19" s="15" t="n">
        <f aca="false">IF(X19="","",MIN(X19,Supuestos!$F$5))</f>
        <v>10</v>
      </c>
      <c r="Z19" s="39" t="n">
        <f aca="false">IF(OR(V19="",Y19=""),"",V19-Y19)</f>
        <v>81</v>
      </c>
      <c r="AA19" s="15" t="n">
        <f aca="false">IF(Z19="","",COUNTIF($Z$6:$Z$21,"&lt;"&amp;Z19)+1)</f>
        <v>7</v>
      </c>
      <c r="AB19" s="15" t="n">
        <f aca="false">IF(Z19="","",COUNTIF($Z$6:$Z$21,Z19))</f>
        <v>2</v>
      </c>
      <c r="AC19" s="40" t="n">
        <f aca="false">IF(Z19="","",ROUND(SUMPRODUCT((Supuestos!$A$5:$A$28&gt;=AA19)*(Supuestos!$A$5:$A$28&lt;AA19+AB19)*Supuestos!$B$5:$B$28)/AB19*Supuestos!$F$6,0))</f>
        <v>85</v>
      </c>
      <c r="AD19" s="15" t="n">
        <f aca="false">IF(1=1,0,IFERROR(INDEX(Jugadores!$E$5:$E$21,MATCH(A19,Jugadores!$A$5:$A$21,0)),0))</f>
        <v>0</v>
      </c>
      <c r="AE19" s="31" t="n">
        <f aca="false">IF(OR(AC19="",AD19=0),0,AC19)</f>
        <v>0</v>
      </c>
      <c r="AF19" s="15" t="n">
        <f aca="false">IF(COUNT(D19:U19)&lt;18,"",SUMPRODUCT(--((D19:U19)-$D$4:$U$4&lt;=-2)))</f>
        <v>0</v>
      </c>
      <c r="AG19" s="15" t="n">
        <f aca="false">IF(COUNT(D19:U19)&lt;18,"",SUMPRODUCT(--((D19:U19)-$D$4:$U$4=-1)))</f>
        <v>2</v>
      </c>
      <c r="AH19" s="15" t="n">
        <f aca="false">IF(COUNT(D19:U19)&lt;18,"",SUMPRODUCT(--((D19:U19)-$D$4:$U$4=0)))</f>
        <v>4</v>
      </c>
      <c r="AI19" s="15" t="n">
        <f aca="false">IF(COUNT(D19:U19)&lt;18,"",SUMPRODUCT(--((D19:U19)-$D$4:$U$4=1)))</f>
        <v>6</v>
      </c>
      <c r="AJ19" s="15" t="n">
        <f aca="false">IF(COUNT(D19:U19)&lt;18,"",SUMPRODUCT(--((D19:U19)-$D$4:$U$4&gt;=2)))</f>
        <v>6</v>
      </c>
    </row>
    <row r="20" customFormat="false" ht="15" hidden="false" customHeight="false" outlineLevel="0" collapsed="false">
      <c r="A20" s="36" t="s">
        <v>169</v>
      </c>
      <c r="B20" s="37" t="s">
        <v>170</v>
      </c>
      <c r="C20" s="38" t="s">
        <v>69</v>
      </c>
      <c r="D20" s="38" t="n">
        <v>7</v>
      </c>
      <c r="E20" s="38" t="n">
        <v>6</v>
      </c>
      <c r="F20" s="38" t="n">
        <v>8</v>
      </c>
      <c r="G20" s="38" t="n">
        <v>3</v>
      </c>
      <c r="H20" s="38" t="n">
        <v>7</v>
      </c>
      <c r="I20" s="38" t="n">
        <v>6</v>
      </c>
      <c r="J20" s="38" t="n">
        <v>6</v>
      </c>
      <c r="K20" s="38" t="n">
        <v>5</v>
      </c>
      <c r="L20" s="38" t="n">
        <v>5</v>
      </c>
      <c r="M20" s="38" t="n">
        <v>9</v>
      </c>
      <c r="N20" s="38" t="n">
        <v>5</v>
      </c>
      <c r="O20" s="38" t="n">
        <v>5</v>
      </c>
      <c r="P20" s="38" t="n">
        <v>4</v>
      </c>
      <c r="Q20" s="38" t="n">
        <v>8</v>
      </c>
      <c r="R20" s="38" t="n">
        <v>7</v>
      </c>
      <c r="S20" s="38" t="n">
        <v>5</v>
      </c>
      <c r="T20" s="38" t="n">
        <v>3</v>
      </c>
      <c r="U20" s="38" t="n">
        <v>6</v>
      </c>
      <c r="V20" s="39" t="n">
        <f aca="false">IF(COUNT(D20:U20)=18,SUM(D20:U20),IF(W20="","",W20))</f>
        <v>105</v>
      </c>
      <c r="W20" s="20"/>
      <c r="X20" s="38" t="n">
        <v>23</v>
      </c>
      <c r="Y20" s="15" t="n">
        <f aca="false">IF(X20="","",MIN(X20,Supuestos!$F$5))</f>
        <v>23</v>
      </c>
      <c r="Z20" s="39" t="n">
        <f aca="false">IF(OR(V20="",Y20=""),"",V20-Y20)</f>
        <v>82</v>
      </c>
      <c r="AA20" s="15" t="n">
        <f aca="false">IF(Z20="","",COUNTIF($Z$6:$Z$21,"&lt;"&amp;Z20)+1)</f>
        <v>9</v>
      </c>
      <c r="AB20" s="15" t="n">
        <f aca="false">IF(Z20="","",COUNTIF($Z$6:$Z$21,Z20))</f>
        <v>1</v>
      </c>
      <c r="AC20" s="40" t="n">
        <f aca="false">IF(Z20="","",ROUND(SUMPRODUCT((Supuestos!$A$5:$A$28&gt;=AA20)*(Supuestos!$A$5:$A$28&lt;AA20+AB20)*Supuestos!$B$5:$B$28)/AB20*Supuestos!$F$6,0))</f>
        <v>75</v>
      </c>
      <c r="AD20" s="15" t="n">
        <f aca="false">IF(1=1,0,IFERROR(INDEX(Jugadores!$E$5:$E$21,MATCH(A20,Jugadores!$A$5:$A$21,0)),0))</f>
        <v>0</v>
      </c>
      <c r="AE20" s="31" t="n">
        <f aca="false">IF(OR(AC20="",AD20=0),0,AC20)</f>
        <v>0</v>
      </c>
      <c r="AF20" s="15" t="n">
        <f aca="false">IF(COUNT(D20:U20)&lt;18,"",SUMPRODUCT(--((D20:U20)-$D$4:$U$4&lt;=-2)))</f>
        <v>0</v>
      </c>
      <c r="AG20" s="15" t="n">
        <f aca="false">IF(COUNT(D20:U20)&lt;18,"",SUMPRODUCT(--((D20:U20)-$D$4:$U$4=-1)))</f>
        <v>0</v>
      </c>
      <c r="AH20" s="15" t="n">
        <f aca="false">IF(COUNT(D20:U20)&lt;18,"",SUMPRODUCT(--((D20:U20)-$D$4:$U$4=0)))</f>
        <v>3</v>
      </c>
      <c r="AI20" s="15" t="n">
        <f aca="false">IF(COUNT(D20:U20)&lt;18,"",SUMPRODUCT(--((D20:U20)-$D$4:$U$4=1)))</f>
        <v>7</v>
      </c>
      <c r="AJ20" s="15" t="n">
        <f aca="false">IF(COUNT(D20:U20)&lt;18,"",SUMPRODUCT(--((D20:U20)-$D$4:$U$4&gt;=2)))</f>
        <v>8</v>
      </c>
    </row>
    <row r="21" customFormat="false" ht="15" hidden="false" customHeight="false" outlineLevel="0" collapsed="false">
      <c r="A21" s="36" t="s">
        <v>175</v>
      </c>
      <c r="B21" s="37" t="s">
        <v>176</v>
      </c>
      <c r="C21" s="38" t="s">
        <v>69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39" t="str">
        <f aca="false">IF(COUNT(D21:U21)=18,SUM(D21:U21),IF(W21="","",W21))</f>
        <v/>
      </c>
      <c r="W21" s="20"/>
      <c r="X21" s="20"/>
      <c r="Y21" s="15" t="str">
        <f aca="false">IF(X21="","",MIN(X21,Supuestos!$F$5))</f>
        <v/>
      </c>
      <c r="Z21" s="39" t="str">
        <f aca="false">IF(OR(V21="",Y21=""),"",V21-Y21)</f>
        <v/>
      </c>
      <c r="AA21" s="15" t="str">
        <f aca="false">IF(Z21="","",COUNTIF($Z$6:$Z$21,"&lt;"&amp;Z21)+1)</f>
        <v/>
      </c>
      <c r="AB21" s="15" t="str">
        <f aca="false">IF(Z21="","",COUNTIF($Z$6:$Z$21,Z21))</f>
        <v/>
      </c>
      <c r="AC21" s="40" t="str">
        <f aca="false">IF(Z21="","",ROUND(SUMPRODUCT((Supuestos!$A$5:$A$28&gt;=AA21)*(Supuestos!$A$5:$A$28&lt;AA21+AB21)*Supuestos!$B$5:$B$28)/AB21*Supuestos!$F$6,0))</f>
        <v/>
      </c>
      <c r="AD21" s="15" t="n">
        <f aca="false">IF(1=1,0,IFERROR(INDEX(Jugadores!$E$5:$E$21,MATCH(A21,Jugadores!$A$5:$A$21,0)),0))</f>
        <v>0</v>
      </c>
      <c r="AE21" s="31" t="n">
        <f aca="false">IF(OR(AC21="",AD21=0),0,AC21)</f>
        <v>0</v>
      </c>
      <c r="AF21" s="15" t="str">
        <f aca="false">IF(COUNT(D21:U21)&lt;18,"",SUMPRODUCT(--((D21:U21)-$D$4:$U$4&lt;=-2)))</f>
        <v/>
      </c>
      <c r="AG21" s="15" t="str">
        <f aca="false">IF(COUNT(D21:U21)&lt;18,"",SUMPRODUCT(--((D21:U21)-$D$4:$U$4=-1)))</f>
        <v/>
      </c>
      <c r="AH21" s="15" t="str">
        <f aca="false">IF(COUNT(D21:U21)&lt;18,"",SUMPRODUCT(--((D21:U21)-$D$4:$U$4=0)))</f>
        <v/>
      </c>
      <c r="AI21" s="15" t="str">
        <f aca="false">IF(COUNT(D21:U21)&lt;18,"",SUMPRODUCT(--((D21:U21)-$D$4:$U$4=1)))</f>
        <v/>
      </c>
      <c r="AJ21" s="15" t="str">
        <f aca="false">IF(COUNT(D21:U21)&lt;18,"",SUMPRODUCT(--((D21:U21)-$D$4:$U$4&gt;=2)))</f>
        <v/>
      </c>
    </row>
    <row r="23" customFormat="false" ht="15" hidden="false" customHeight="false" outlineLevel="0" collapsed="false">
      <c r="B23" s="3" t="s">
        <v>152</v>
      </c>
    </row>
    <row r="24" customFormat="false" ht="15" hidden="false" customHeight="false" outlineLevel="0" collapsed="false">
      <c r="B24" s="4" t="s">
        <v>153</v>
      </c>
      <c r="C24" s="21" t="n">
        <f aca="false">COUNT(V6:V21)</f>
        <v>12</v>
      </c>
    </row>
    <row r="25" customFormat="false" ht="15" hidden="false" customHeight="false" outlineLevel="0" collapsed="false">
      <c r="B25" s="4" t="s">
        <v>154</v>
      </c>
      <c r="C25" s="42" t="n">
        <f aca="false">IFERROR(AVERAGE(V6:V21),"")</f>
        <v>95.75</v>
      </c>
    </row>
    <row r="26" customFormat="false" ht="15" hidden="false" customHeight="false" outlineLevel="0" collapsed="false">
      <c r="B26" s="4" t="s">
        <v>155</v>
      </c>
      <c r="C26" s="42" t="n">
        <f aca="false">IFERROR(AVERAGE(Z6:Z21),"")</f>
        <v>80.1666666666667</v>
      </c>
    </row>
    <row r="27" customFormat="false" ht="15" hidden="false" customHeight="false" outlineLevel="0" collapsed="false">
      <c r="B27" s="4" t="s">
        <v>156</v>
      </c>
      <c r="C27" s="21" t="n">
        <f aca="false">IFERROR(MIN(Z6:Z21),"")</f>
        <v>74</v>
      </c>
    </row>
    <row r="28" customFormat="false" ht="15" hidden="false" customHeight="false" outlineLevel="0" collapsed="false">
      <c r="B28" s="4" t="s">
        <v>157</v>
      </c>
      <c r="C28" s="21" t="n">
        <f aca="false">IFERROR(MIN(V6:V21),"")</f>
        <v>85</v>
      </c>
    </row>
    <row r="29" customFormat="false" ht="15" hidden="false" customHeight="false" outlineLevel="0" collapsed="false">
      <c r="B29" s="4" t="s">
        <v>158</v>
      </c>
      <c r="C29" s="21" t="n">
        <f aca="false">SUM(AF6:AF21)</f>
        <v>0</v>
      </c>
    </row>
    <row r="30" customFormat="false" ht="15" hidden="false" customHeight="false" outlineLevel="0" collapsed="false">
      <c r="B30" s="4" t="s">
        <v>159</v>
      </c>
      <c r="C30" s="21" t="n">
        <f aca="false">SUM(AG6:AG21)</f>
        <v>5</v>
      </c>
    </row>
    <row r="31" customFormat="false" ht="15" hidden="false" customHeight="false" outlineLevel="0" collapsed="false">
      <c r="B31" s="4" t="s">
        <v>160</v>
      </c>
      <c r="C31" s="21" t="n">
        <f aca="false">SUM(AH6:AH21)</f>
        <v>56</v>
      </c>
    </row>
    <row r="32" customFormat="false" ht="15" hidden="false" customHeight="false" outlineLevel="0" collapsed="false">
      <c r="B32" s="4" t="s">
        <v>161</v>
      </c>
      <c r="C32" s="21" t="n">
        <f aca="false">SUM(AI6:AI21)</f>
        <v>83</v>
      </c>
    </row>
    <row r="33" customFormat="false" ht="15" hidden="false" customHeight="false" outlineLevel="0" collapsed="false">
      <c r="B33" s="4" t="s">
        <v>162</v>
      </c>
      <c r="C33" s="21" t="n">
        <f aca="false">SUM(AJ6:AJ21)</f>
        <v>72</v>
      </c>
    </row>
  </sheetData>
  <conditionalFormatting sqref="D6:U21">
    <cfRule type="expression" priority="2" aboveAverage="0" equalAverage="0" bottom="0" percent="0" rank="0" text="" dxfId="0">
      <formula>AND(ISNUMBER(D6),D6-D$4&lt;=-2)</formula>
    </cfRule>
    <cfRule type="expression" priority="3" aboveAverage="0" equalAverage="0" bottom="0" percent="0" rank="0" text="" dxfId="1">
      <formula>AND(ISNUMBER(D6),D6-D$4=-1)</formula>
    </cfRule>
    <cfRule type="expression" priority="4" aboveAverage="0" equalAverage="0" bottom="0" percent="0" rank="0" text="" dxfId="2">
      <formula>AND(ISNUMBER(D6),D6-D$4=1)</formula>
    </cfRule>
    <cfRule type="expression" priority="5" aboveAverage="0" equalAverage="0" bottom="0" percent="0" rank="0" text="" dxfId="3">
      <formula>AND(ISNUMBER(D6),D6-D$4&gt;=2)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21" min="4" style="0" width="4.2"/>
    <col collapsed="false" customWidth="true" hidden="false" outlineLevel="0" max="22" min="22" style="0" width="7"/>
    <col collapsed="false" customWidth="true" hidden="false" outlineLevel="0" max="23" min="23" style="0" width="8"/>
    <col collapsed="false" customWidth="true" hidden="false" outlineLevel="0" max="26" min="24" style="0" width="7"/>
    <col collapsed="false" customWidth="true" hidden="false" outlineLevel="0" max="28" min="27" style="0" width="6"/>
    <col collapsed="false" customWidth="true" hidden="false" outlineLevel="0" max="29" min="29" style="0" width="8"/>
    <col collapsed="false" customWidth="true" hidden="false" outlineLevel="0" max="30" min="30" style="0" width="7"/>
    <col collapsed="false" customWidth="true" hidden="false" outlineLevel="0" max="31" min="31" style="0" width="8"/>
    <col collapsed="false" customWidth="true" hidden="false" outlineLevel="0" max="36" min="32" style="0" width="6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B4" s="33" t="s">
        <v>119</v>
      </c>
      <c r="D4" s="34" t="n">
        <v>5</v>
      </c>
      <c r="E4" s="34" t="n">
        <v>3</v>
      </c>
      <c r="F4" s="34" t="n">
        <v>4</v>
      </c>
      <c r="G4" s="34" t="n">
        <v>5</v>
      </c>
      <c r="H4" s="34" t="n">
        <v>4</v>
      </c>
      <c r="I4" s="34" t="n">
        <v>4</v>
      </c>
      <c r="J4" s="34" t="n">
        <v>3</v>
      </c>
      <c r="K4" s="34" t="n">
        <v>4</v>
      </c>
      <c r="L4" s="34" t="n">
        <v>4</v>
      </c>
      <c r="M4" s="34" t="n">
        <v>4</v>
      </c>
      <c r="N4" s="34" t="n">
        <v>5</v>
      </c>
      <c r="O4" s="34" t="n">
        <v>4</v>
      </c>
      <c r="P4" s="34" t="n">
        <v>4</v>
      </c>
      <c r="Q4" s="34" t="n">
        <v>3</v>
      </c>
      <c r="R4" s="34" t="n">
        <v>4</v>
      </c>
      <c r="S4" s="34" t="n">
        <v>4</v>
      </c>
      <c r="T4" s="34" t="n">
        <v>3</v>
      </c>
      <c r="U4" s="34" t="n">
        <v>5</v>
      </c>
      <c r="V4" s="35" t="n">
        <f aca="false">SUM(D4:U4)</f>
        <v>72</v>
      </c>
    </row>
    <row r="5" customFormat="false" ht="15" hidden="false" customHeight="false" outlineLevel="0" collapsed="false">
      <c r="A5" s="8" t="s">
        <v>35</v>
      </c>
      <c r="B5" s="8" t="s">
        <v>9</v>
      </c>
      <c r="C5" s="8" t="s">
        <v>36</v>
      </c>
      <c r="D5" s="8" t="s">
        <v>120</v>
      </c>
      <c r="E5" s="8" t="s">
        <v>121</v>
      </c>
      <c r="F5" s="8" t="s">
        <v>122</v>
      </c>
      <c r="G5" s="8" t="s">
        <v>123</v>
      </c>
      <c r="H5" s="8" t="s">
        <v>124</v>
      </c>
      <c r="I5" s="8" t="s">
        <v>125</v>
      </c>
      <c r="J5" s="8" t="s">
        <v>126</v>
      </c>
      <c r="K5" s="8" t="s">
        <v>127</v>
      </c>
      <c r="L5" s="8" t="s">
        <v>128</v>
      </c>
      <c r="M5" s="8" t="s">
        <v>129</v>
      </c>
      <c r="N5" s="8" t="s">
        <v>130</v>
      </c>
      <c r="O5" s="8" t="s">
        <v>131</v>
      </c>
      <c r="P5" s="8" t="s">
        <v>132</v>
      </c>
      <c r="Q5" s="8" t="s">
        <v>133</v>
      </c>
      <c r="R5" s="8" t="s">
        <v>134</v>
      </c>
      <c r="S5" s="8" t="s">
        <v>135</v>
      </c>
      <c r="T5" s="8" t="s">
        <v>136</v>
      </c>
      <c r="U5" s="8" t="s">
        <v>137</v>
      </c>
      <c r="V5" s="8" t="s">
        <v>138</v>
      </c>
      <c r="W5" s="8" t="s">
        <v>139</v>
      </c>
      <c r="X5" s="8" t="s">
        <v>140</v>
      </c>
      <c r="Y5" s="8" t="s">
        <v>141</v>
      </c>
      <c r="Z5" s="8" t="s">
        <v>142</v>
      </c>
      <c r="AA5" s="8" t="s">
        <v>143</v>
      </c>
      <c r="AB5" s="8" t="s">
        <v>144</v>
      </c>
      <c r="AC5" s="8" t="s">
        <v>10</v>
      </c>
      <c r="AD5" s="8" t="s">
        <v>145</v>
      </c>
      <c r="AE5" s="8" t="s">
        <v>146</v>
      </c>
      <c r="AF5" s="8" t="s">
        <v>147</v>
      </c>
      <c r="AG5" s="8" t="s">
        <v>148</v>
      </c>
      <c r="AH5" s="8" t="s">
        <v>149</v>
      </c>
      <c r="AI5" s="8" t="s">
        <v>150</v>
      </c>
      <c r="AJ5" s="8" t="s">
        <v>151</v>
      </c>
    </row>
    <row r="6" customFormat="false" ht="15" hidden="false" customHeight="false" outlineLevel="0" collapsed="false">
      <c r="A6" s="36" t="s">
        <v>50</v>
      </c>
      <c r="B6" s="37" t="s">
        <v>51</v>
      </c>
      <c r="C6" s="38" t="s">
        <v>52</v>
      </c>
      <c r="D6" s="38" t="n">
        <v>5</v>
      </c>
      <c r="E6" s="38" t="n">
        <v>3</v>
      </c>
      <c r="F6" s="38" t="n">
        <v>5</v>
      </c>
      <c r="G6" s="38" t="n">
        <v>5</v>
      </c>
      <c r="H6" s="38" t="n">
        <v>5</v>
      </c>
      <c r="I6" s="38" t="n">
        <v>5</v>
      </c>
      <c r="J6" s="38" t="n">
        <v>4</v>
      </c>
      <c r="K6" s="38" t="n">
        <v>4</v>
      </c>
      <c r="L6" s="38" t="n">
        <v>5</v>
      </c>
      <c r="M6" s="38" t="n">
        <v>5</v>
      </c>
      <c r="N6" s="38" t="n">
        <v>6</v>
      </c>
      <c r="O6" s="38" t="n">
        <v>5</v>
      </c>
      <c r="P6" s="38" t="n">
        <v>4</v>
      </c>
      <c r="Q6" s="38" t="n">
        <v>3</v>
      </c>
      <c r="R6" s="38" t="n">
        <v>4</v>
      </c>
      <c r="S6" s="38" t="n">
        <v>6</v>
      </c>
      <c r="T6" s="38" t="n">
        <v>4</v>
      </c>
      <c r="U6" s="38" t="n">
        <v>5</v>
      </c>
      <c r="V6" s="39" t="n">
        <f aca="false">IF(COUNT(D6:U6)=18,SUM(D6:U6),IF(W6="","",W6))</f>
        <v>83</v>
      </c>
      <c r="W6" s="20"/>
      <c r="X6" s="38" t="n">
        <v>7</v>
      </c>
      <c r="Y6" s="15" t="n">
        <f aca="false">IF(X6="","",MIN(X6,Supuestos!$F$5))</f>
        <v>7</v>
      </c>
      <c r="Z6" s="39" t="n">
        <f aca="false">IF(OR(V6="",Y6=""),"",V6-Y6)</f>
        <v>76</v>
      </c>
      <c r="AA6" s="15" t="n">
        <f aca="false">IF(Z6="","",COUNTIF($Z$6:$Z$21,"&lt;"&amp;Z6)+1)</f>
        <v>3</v>
      </c>
      <c r="AB6" s="15" t="n">
        <f aca="false">IF(Z6="","",COUNTIF($Z$6:$Z$21,Z6))</f>
        <v>3</v>
      </c>
      <c r="AC6" s="40" t="n">
        <f aca="false">IF(Z6="","",ROUND(SUMPRODUCT((Supuestos!$A$5:$A$28&gt;=AA6)*(Supuestos!$A$5:$A$28&lt;AA6+AB6)*Supuestos!$B$5:$B$28)/AB6*Supuestos!$F$6,0))</f>
        <v>157</v>
      </c>
      <c r="AD6" s="15" t="n">
        <f aca="false">IF(0=1,0,IFERROR(INDEX(Jugadores!$E$5:$E$21,MATCH(A6,Jugadores!$A$5:$A$21,0)),0))</f>
        <v>1</v>
      </c>
      <c r="AE6" s="31" t="n">
        <f aca="false">IF(OR(AC6="",AD6=0),0,AC6)</f>
        <v>157</v>
      </c>
      <c r="AF6" s="15" t="n">
        <f aca="false">IF(COUNT(D6:U6)&lt;18,"",SUMPRODUCT(--((D6:U6)-$D$4:$U$4&lt;=-2)))</f>
        <v>0</v>
      </c>
      <c r="AG6" s="15" t="n">
        <f aca="false">IF(COUNT(D6:U6)&lt;18,"",SUMPRODUCT(--((D6:U6)-$D$4:$U$4=-1)))</f>
        <v>0</v>
      </c>
      <c r="AH6" s="15" t="n">
        <f aca="false">IF(COUNT(D6:U6)&lt;18,"",SUMPRODUCT(--((D6:U6)-$D$4:$U$4=0)))</f>
        <v>8</v>
      </c>
      <c r="AI6" s="15" t="n">
        <f aca="false">IF(COUNT(D6:U6)&lt;18,"",SUMPRODUCT(--((D6:U6)-$D$4:$U$4=1)))</f>
        <v>9</v>
      </c>
      <c r="AJ6" s="15" t="n">
        <f aca="false">IF(COUNT(D6:U6)&lt;18,"",SUMPRODUCT(--((D6:U6)-$D$4:$U$4&gt;=2)))</f>
        <v>1</v>
      </c>
    </row>
    <row r="7" customFormat="false" ht="15" hidden="false" customHeight="false" outlineLevel="0" collapsed="false">
      <c r="A7" s="36" t="s">
        <v>53</v>
      </c>
      <c r="B7" s="37" t="s">
        <v>54</v>
      </c>
      <c r="C7" s="38" t="s">
        <v>52</v>
      </c>
      <c r="D7" s="38" t="n">
        <v>6</v>
      </c>
      <c r="E7" s="38" t="n">
        <v>3</v>
      </c>
      <c r="F7" s="38" t="n">
        <v>6</v>
      </c>
      <c r="G7" s="38" t="n">
        <v>6</v>
      </c>
      <c r="H7" s="38" t="n">
        <v>5</v>
      </c>
      <c r="I7" s="38" t="n">
        <v>3</v>
      </c>
      <c r="J7" s="38" t="n">
        <v>4</v>
      </c>
      <c r="K7" s="38" t="n">
        <v>5</v>
      </c>
      <c r="L7" s="38" t="n">
        <v>5</v>
      </c>
      <c r="M7" s="38" t="n">
        <v>4</v>
      </c>
      <c r="N7" s="38" t="n">
        <v>7</v>
      </c>
      <c r="O7" s="38" t="n">
        <v>7</v>
      </c>
      <c r="P7" s="38" t="n">
        <v>5</v>
      </c>
      <c r="Q7" s="38" t="n">
        <v>4</v>
      </c>
      <c r="R7" s="38" t="n">
        <v>5</v>
      </c>
      <c r="S7" s="38" t="n">
        <v>4</v>
      </c>
      <c r="T7" s="38" t="n">
        <v>4</v>
      </c>
      <c r="U7" s="38" t="n">
        <v>6</v>
      </c>
      <c r="V7" s="39" t="n">
        <f aca="false">IF(COUNT(D7:U7)=18,SUM(D7:U7),IF(W7="","",W7))</f>
        <v>89</v>
      </c>
      <c r="W7" s="20"/>
      <c r="X7" s="38" t="n">
        <v>12</v>
      </c>
      <c r="Y7" s="15" t="n">
        <f aca="false">IF(X7="","",MIN(X7,Supuestos!$F$5))</f>
        <v>12</v>
      </c>
      <c r="Z7" s="39" t="n">
        <f aca="false">IF(OR(V7="",Y7=""),"",V7-Y7)</f>
        <v>77</v>
      </c>
      <c r="AA7" s="15" t="n">
        <f aca="false">IF(Z7="","",COUNTIF($Z$6:$Z$21,"&lt;"&amp;Z7)+1)</f>
        <v>6</v>
      </c>
      <c r="AB7" s="15" t="n">
        <f aca="false">IF(Z7="","",COUNTIF($Z$6:$Z$21,Z7))</f>
        <v>1</v>
      </c>
      <c r="AC7" s="40" t="n">
        <f aca="false">IF(Z7="","",ROUND(SUMPRODUCT((Supuestos!$A$5:$A$28&gt;=AA7)*(Supuestos!$A$5:$A$28&lt;AA7+AB7)*Supuestos!$B$5:$B$28)/AB7*Supuestos!$F$6,0))</f>
        <v>100</v>
      </c>
      <c r="AD7" s="15" t="n">
        <f aca="false">IF(0=1,0,IFERROR(INDEX(Jugadores!$E$5:$E$21,MATCH(A7,Jugadores!$A$5:$A$21,0)),0))</f>
        <v>1</v>
      </c>
      <c r="AE7" s="31" t="n">
        <f aca="false">IF(OR(AC7="",AD7=0),0,AC7)</f>
        <v>100</v>
      </c>
      <c r="AF7" s="15" t="n">
        <f aca="false">IF(COUNT(D7:U7)&lt;18,"",SUMPRODUCT(--((D7:U7)-$D$4:$U$4&lt;=-2)))</f>
        <v>0</v>
      </c>
      <c r="AG7" s="15" t="n">
        <f aca="false">IF(COUNT(D7:U7)&lt;18,"",SUMPRODUCT(--((D7:U7)-$D$4:$U$4=-1)))</f>
        <v>1</v>
      </c>
      <c r="AH7" s="15" t="n">
        <f aca="false">IF(COUNT(D7:U7)&lt;18,"",SUMPRODUCT(--((D7:U7)-$D$4:$U$4=0)))</f>
        <v>3</v>
      </c>
      <c r="AI7" s="15" t="n">
        <f aca="false">IF(COUNT(D7:U7)&lt;18,"",SUMPRODUCT(--((D7:U7)-$D$4:$U$4=1)))</f>
        <v>11</v>
      </c>
      <c r="AJ7" s="15" t="n">
        <f aca="false">IF(COUNT(D7:U7)&lt;18,"",SUMPRODUCT(--((D7:U7)-$D$4:$U$4&gt;=2)))</f>
        <v>3</v>
      </c>
    </row>
    <row r="8" customFormat="false" ht="15" hidden="false" customHeight="false" outlineLevel="0" collapsed="false">
      <c r="A8" s="36" t="s">
        <v>55</v>
      </c>
      <c r="B8" s="37" t="s">
        <v>56</v>
      </c>
      <c r="C8" s="38" t="s">
        <v>52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39" t="str">
        <f aca="false">IF(COUNT(D8:U8)=18,SUM(D8:U8),IF(W8="","",W8))</f>
        <v/>
      </c>
      <c r="W8" s="20"/>
      <c r="X8" s="20"/>
      <c r="Y8" s="15" t="str">
        <f aca="false">IF(X8="","",MIN(X8,Supuestos!$F$5))</f>
        <v/>
      </c>
      <c r="Z8" s="39" t="str">
        <f aca="false">IF(OR(V8="",Y8=""),"",V8-Y8)</f>
        <v/>
      </c>
      <c r="AA8" s="15" t="str">
        <f aca="false">IF(Z8="","",COUNTIF($Z$6:$Z$21,"&lt;"&amp;Z8)+1)</f>
        <v/>
      </c>
      <c r="AB8" s="15" t="str">
        <f aca="false">IF(Z8="","",COUNTIF($Z$6:$Z$21,Z8))</f>
        <v/>
      </c>
      <c r="AC8" s="40" t="str">
        <f aca="false">IF(Z8="","",ROUND(SUMPRODUCT((Supuestos!$A$5:$A$28&gt;=AA8)*(Supuestos!$A$5:$A$28&lt;AA8+AB8)*Supuestos!$B$5:$B$28)/AB8*Supuestos!$F$6,0))</f>
        <v/>
      </c>
      <c r="AD8" s="15" t="n">
        <f aca="false">IF(0=1,0,IFERROR(INDEX(Jugadores!$E$5:$E$21,MATCH(A8,Jugadores!$A$5:$A$21,0)),0))</f>
        <v>1</v>
      </c>
      <c r="AE8" s="31" t="n">
        <f aca="false">IF(OR(AC8="",AD8=0),0,AC8)</f>
        <v>0</v>
      </c>
      <c r="AF8" s="15" t="str">
        <f aca="false">IF(COUNT(D8:U8)&lt;18,"",SUMPRODUCT(--((D8:U8)-$D$4:$U$4&lt;=-2)))</f>
        <v/>
      </c>
      <c r="AG8" s="15" t="str">
        <f aca="false">IF(COUNT(D8:U8)&lt;18,"",SUMPRODUCT(--((D8:U8)-$D$4:$U$4=-1)))</f>
        <v/>
      </c>
      <c r="AH8" s="15" t="str">
        <f aca="false">IF(COUNT(D8:U8)&lt;18,"",SUMPRODUCT(--((D8:U8)-$D$4:$U$4=0)))</f>
        <v/>
      </c>
      <c r="AI8" s="15" t="str">
        <f aca="false">IF(COUNT(D8:U8)&lt;18,"",SUMPRODUCT(--((D8:U8)-$D$4:$U$4=1)))</f>
        <v/>
      </c>
      <c r="AJ8" s="15" t="str">
        <f aca="false">IF(COUNT(D8:U8)&lt;18,"",SUMPRODUCT(--((D8:U8)-$D$4:$U$4&gt;=2)))</f>
        <v/>
      </c>
    </row>
    <row r="9" customFormat="false" ht="15" hidden="false" customHeight="false" outlineLevel="0" collapsed="false">
      <c r="A9" s="36" t="s">
        <v>57</v>
      </c>
      <c r="B9" s="37" t="s">
        <v>58</v>
      </c>
      <c r="C9" s="38" t="s">
        <v>52</v>
      </c>
      <c r="D9" s="38" t="n">
        <v>8</v>
      </c>
      <c r="E9" s="38" t="n">
        <v>3</v>
      </c>
      <c r="F9" s="38" t="n">
        <v>9</v>
      </c>
      <c r="G9" s="38" t="n">
        <v>5</v>
      </c>
      <c r="H9" s="38" t="n">
        <v>7</v>
      </c>
      <c r="I9" s="38" t="n">
        <v>5</v>
      </c>
      <c r="J9" s="38" t="n">
        <v>4</v>
      </c>
      <c r="K9" s="38" t="n">
        <v>6</v>
      </c>
      <c r="L9" s="38" t="n">
        <v>4</v>
      </c>
      <c r="M9" s="38" t="n">
        <v>6</v>
      </c>
      <c r="N9" s="38" t="n">
        <v>5</v>
      </c>
      <c r="O9" s="38" t="n">
        <v>5</v>
      </c>
      <c r="P9" s="38" t="n">
        <v>4</v>
      </c>
      <c r="Q9" s="38" t="n">
        <v>4</v>
      </c>
      <c r="R9" s="38" t="n">
        <v>7</v>
      </c>
      <c r="S9" s="38" t="n">
        <v>6</v>
      </c>
      <c r="T9" s="38" t="n">
        <v>5</v>
      </c>
      <c r="U9" s="38" t="n">
        <v>6</v>
      </c>
      <c r="V9" s="39" t="n">
        <f aca="false">IF(COUNT(D9:U9)=18,SUM(D9:U9),IF(W9="","",W9))</f>
        <v>99</v>
      </c>
      <c r="W9" s="20"/>
      <c r="X9" s="38" t="n">
        <v>17</v>
      </c>
      <c r="Y9" s="15" t="n">
        <f aca="false">IF(X9="","",MIN(X9,Supuestos!$F$5))</f>
        <v>17</v>
      </c>
      <c r="Z9" s="39" t="n">
        <f aca="false">IF(OR(V9="",Y9=""),"",V9-Y9)</f>
        <v>82</v>
      </c>
      <c r="AA9" s="15" t="n">
        <f aca="false">IF(Z9="","",COUNTIF($Z$6:$Z$21,"&lt;"&amp;Z9)+1)</f>
        <v>12</v>
      </c>
      <c r="AB9" s="15" t="n">
        <f aca="false">IF(Z9="","",COUNTIF($Z$6:$Z$21,Z9))</f>
        <v>1</v>
      </c>
      <c r="AC9" s="40" t="n">
        <f aca="false">IF(Z9="","",ROUND(SUMPRODUCT((Supuestos!$A$5:$A$28&gt;=AA9)*(Supuestos!$A$5:$A$28&lt;AA9+AB9)*Supuestos!$B$5:$B$28)/AB9*Supuestos!$F$6,0))</f>
        <v>20</v>
      </c>
      <c r="AD9" s="15" t="n">
        <f aca="false">IF(0=1,0,IFERROR(INDEX(Jugadores!$E$5:$E$21,MATCH(A9,Jugadores!$A$5:$A$21,0)),0))</f>
        <v>1</v>
      </c>
      <c r="AE9" s="31" t="n">
        <f aca="false">IF(OR(AC9="",AD9=0),0,AC9)</f>
        <v>20</v>
      </c>
      <c r="AF9" s="15" t="n">
        <f aca="false">IF(COUNT(D9:U9)&lt;18,"",SUMPRODUCT(--((D9:U9)-$D$4:$U$4&lt;=-2)))</f>
        <v>0</v>
      </c>
      <c r="AG9" s="15" t="n">
        <f aca="false">IF(COUNT(D9:U9)&lt;18,"",SUMPRODUCT(--((D9:U9)-$D$4:$U$4=-1)))</f>
        <v>0</v>
      </c>
      <c r="AH9" s="15" t="n">
        <f aca="false">IF(COUNT(D9:U9)&lt;18,"",SUMPRODUCT(--((D9:U9)-$D$4:$U$4=0)))</f>
        <v>5</v>
      </c>
      <c r="AI9" s="15" t="n">
        <f aca="false">IF(COUNT(D9:U9)&lt;18,"",SUMPRODUCT(--((D9:U9)-$D$4:$U$4=1)))</f>
        <v>5</v>
      </c>
      <c r="AJ9" s="15" t="n">
        <f aca="false">IF(COUNT(D9:U9)&lt;18,"",SUMPRODUCT(--((D9:U9)-$D$4:$U$4&gt;=2)))</f>
        <v>8</v>
      </c>
    </row>
    <row r="10" customFormat="false" ht="15" hidden="false" customHeight="false" outlineLevel="0" collapsed="false">
      <c r="A10" s="36" t="s">
        <v>59</v>
      </c>
      <c r="B10" s="37" t="s">
        <v>60</v>
      </c>
      <c r="C10" s="38" t="s">
        <v>52</v>
      </c>
      <c r="D10" s="38" t="n">
        <v>6</v>
      </c>
      <c r="E10" s="38" t="n">
        <v>3</v>
      </c>
      <c r="F10" s="38" t="n">
        <v>5</v>
      </c>
      <c r="G10" s="38" t="n">
        <v>7</v>
      </c>
      <c r="H10" s="38" t="n">
        <v>4</v>
      </c>
      <c r="I10" s="38" t="n">
        <v>4</v>
      </c>
      <c r="J10" s="38" t="n">
        <v>4</v>
      </c>
      <c r="K10" s="38" t="n">
        <v>5</v>
      </c>
      <c r="L10" s="38" t="n">
        <v>5</v>
      </c>
      <c r="M10" s="38" t="n">
        <v>6</v>
      </c>
      <c r="N10" s="38" t="n">
        <v>11</v>
      </c>
      <c r="O10" s="38" t="n">
        <v>5</v>
      </c>
      <c r="P10" s="38" t="n">
        <v>5</v>
      </c>
      <c r="Q10" s="38" t="n">
        <v>3</v>
      </c>
      <c r="R10" s="38" t="n">
        <v>5</v>
      </c>
      <c r="S10" s="38" t="n">
        <v>7</v>
      </c>
      <c r="T10" s="38" t="n">
        <v>4</v>
      </c>
      <c r="U10" s="38" t="n">
        <v>7</v>
      </c>
      <c r="V10" s="39" t="n">
        <f aca="false">IF(COUNT(D10:U10)=18,SUM(D10:U10),IF(W10="","",W10))</f>
        <v>96</v>
      </c>
      <c r="W10" s="20"/>
      <c r="X10" s="38" t="n">
        <v>17</v>
      </c>
      <c r="Y10" s="15" t="n">
        <f aca="false">IF(X10="","",MIN(X10,Supuestos!$F$5))</f>
        <v>17</v>
      </c>
      <c r="Z10" s="39" t="n">
        <f aca="false">IF(OR(V10="",Y10=""),"",V10-Y10)</f>
        <v>79</v>
      </c>
      <c r="AA10" s="15" t="n">
        <f aca="false">IF(Z10="","",COUNTIF($Z$6:$Z$21,"&lt;"&amp;Z10)+1)</f>
        <v>8</v>
      </c>
      <c r="AB10" s="15" t="n">
        <f aca="false">IF(Z10="","",COUNTIF($Z$6:$Z$21,Z10))</f>
        <v>2</v>
      </c>
      <c r="AC10" s="40" t="n">
        <f aca="false">IF(Z10="","",ROUND(SUMPRODUCT((Supuestos!$A$5:$A$28&gt;=AA10)*(Supuestos!$A$5:$A$28&lt;AA10+AB10)*Supuestos!$B$5:$B$28)/AB10*Supuestos!$F$6,0))</f>
        <v>78</v>
      </c>
      <c r="AD10" s="15" t="n">
        <f aca="false">IF(0=1,0,IFERROR(INDEX(Jugadores!$E$5:$E$21,MATCH(A10,Jugadores!$A$5:$A$21,0)),0))</f>
        <v>1</v>
      </c>
      <c r="AE10" s="31" t="n">
        <f aca="false">IF(OR(AC10="",AD10=0),0,AC10)</f>
        <v>78</v>
      </c>
      <c r="AF10" s="15" t="n">
        <f aca="false">IF(COUNT(D10:U10)&lt;18,"",SUMPRODUCT(--((D10:U10)-$D$4:$U$4&lt;=-2)))</f>
        <v>0</v>
      </c>
      <c r="AG10" s="15" t="n">
        <f aca="false">IF(COUNT(D10:U10)&lt;18,"",SUMPRODUCT(--((D10:U10)-$D$4:$U$4=-1)))</f>
        <v>0</v>
      </c>
      <c r="AH10" s="15" t="n">
        <f aca="false">IF(COUNT(D10:U10)&lt;18,"",SUMPRODUCT(--((D10:U10)-$D$4:$U$4=0)))</f>
        <v>4</v>
      </c>
      <c r="AI10" s="15" t="n">
        <f aca="false">IF(COUNT(D10:U10)&lt;18,"",SUMPRODUCT(--((D10:U10)-$D$4:$U$4=1)))</f>
        <v>9</v>
      </c>
      <c r="AJ10" s="15" t="n">
        <f aca="false">IF(COUNT(D10:U10)&lt;18,"",SUMPRODUCT(--((D10:U10)-$D$4:$U$4&gt;=2)))</f>
        <v>5</v>
      </c>
    </row>
    <row r="11" customFormat="false" ht="15" hidden="false" customHeight="false" outlineLevel="0" collapsed="false">
      <c r="A11" s="36" t="s">
        <v>61</v>
      </c>
      <c r="B11" s="37" t="s">
        <v>62</v>
      </c>
      <c r="C11" s="38" t="s">
        <v>52</v>
      </c>
      <c r="D11" s="38" t="n">
        <v>7</v>
      </c>
      <c r="E11" s="38" t="n">
        <v>3</v>
      </c>
      <c r="F11" s="38" t="n">
        <v>8</v>
      </c>
      <c r="G11" s="38" t="n">
        <v>7</v>
      </c>
      <c r="H11" s="38" t="n">
        <v>4</v>
      </c>
      <c r="I11" s="38" t="n">
        <v>4</v>
      </c>
      <c r="J11" s="38" t="n">
        <v>2</v>
      </c>
      <c r="K11" s="38" t="n">
        <v>4</v>
      </c>
      <c r="L11" s="38" t="n">
        <v>5</v>
      </c>
      <c r="M11" s="38" t="n">
        <v>4</v>
      </c>
      <c r="N11" s="38" t="n">
        <v>7</v>
      </c>
      <c r="O11" s="38" t="n">
        <v>5</v>
      </c>
      <c r="P11" s="38" t="n">
        <v>7</v>
      </c>
      <c r="Q11" s="38" t="n">
        <v>6</v>
      </c>
      <c r="R11" s="38" t="n">
        <v>4</v>
      </c>
      <c r="S11" s="38" t="n">
        <v>5</v>
      </c>
      <c r="T11" s="38" t="n">
        <v>4</v>
      </c>
      <c r="U11" s="38" t="n">
        <v>6</v>
      </c>
      <c r="V11" s="39" t="n">
        <f aca="false">IF(COUNT(D11:U11)=18,SUM(D11:U11),IF(W11="","",W11))</f>
        <v>92</v>
      </c>
      <c r="W11" s="20"/>
      <c r="X11" s="38" t="n">
        <v>23</v>
      </c>
      <c r="Y11" s="15" t="n">
        <f aca="false">IF(X11="","",MIN(X11,Supuestos!$F$5))</f>
        <v>23</v>
      </c>
      <c r="Z11" s="39" t="n">
        <f aca="false">IF(OR(V11="",Y11=""),"",V11-Y11)</f>
        <v>69</v>
      </c>
      <c r="AA11" s="15" t="n">
        <f aca="false">IF(Z11="","",COUNTIF($Z$6:$Z$21,"&lt;"&amp;Z11)+1)</f>
        <v>1</v>
      </c>
      <c r="AB11" s="15" t="n">
        <f aca="false">IF(Z11="","",COUNTIF($Z$6:$Z$21,Z11))</f>
        <v>1</v>
      </c>
      <c r="AC11" s="40" t="n">
        <f aca="false">IF(Z11="","",ROUND(SUMPRODUCT((Supuestos!$A$5:$A$28&gt;=AA11)*(Supuestos!$A$5:$A$28&lt;AA11+AB11)*Supuestos!$B$5:$B$28)/AB11*Supuestos!$F$6,0))</f>
        <v>500</v>
      </c>
      <c r="AD11" s="15" t="n">
        <f aca="false">IF(0=1,0,IFERROR(INDEX(Jugadores!$E$5:$E$21,MATCH(A11,Jugadores!$A$5:$A$21,0)),0))</f>
        <v>1</v>
      </c>
      <c r="AE11" s="31" t="n">
        <f aca="false">IF(OR(AC11="",AD11=0),0,AC11)</f>
        <v>500</v>
      </c>
      <c r="AF11" s="15" t="n">
        <f aca="false">IF(COUNT(D11:U11)&lt;18,"",SUMPRODUCT(--((D11:U11)-$D$4:$U$4&lt;=-2)))</f>
        <v>0</v>
      </c>
      <c r="AG11" s="15" t="n">
        <f aca="false">IF(COUNT(D11:U11)&lt;18,"",SUMPRODUCT(--((D11:U11)-$D$4:$U$4=-1)))</f>
        <v>1</v>
      </c>
      <c r="AH11" s="15" t="n">
        <f aca="false">IF(COUNT(D11:U11)&lt;18,"",SUMPRODUCT(--((D11:U11)-$D$4:$U$4=0)))</f>
        <v>6</v>
      </c>
      <c r="AI11" s="15" t="n">
        <f aca="false">IF(COUNT(D11:U11)&lt;18,"",SUMPRODUCT(--((D11:U11)-$D$4:$U$4=1)))</f>
        <v>5</v>
      </c>
      <c r="AJ11" s="15" t="n">
        <f aca="false">IF(COUNT(D11:U11)&lt;18,"",SUMPRODUCT(--((D11:U11)-$D$4:$U$4&gt;=2)))</f>
        <v>6</v>
      </c>
    </row>
    <row r="12" customFormat="false" ht="15" hidden="false" customHeight="false" outlineLevel="0" collapsed="false">
      <c r="A12" s="36" t="s">
        <v>63</v>
      </c>
      <c r="B12" s="37" t="s">
        <v>64</v>
      </c>
      <c r="C12" s="38" t="s">
        <v>52</v>
      </c>
      <c r="D12" s="38" t="n">
        <v>8</v>
      </c>
      <c r="E12" s="38" t="n">
        <v>3</v>
      </c>
      <c r="F12" s="38" t="n">
        <v>6</v>
      </c>
      <c r="G12" s="38" t="n">
        <v>7</v>
      </c>
      <c r="H12" s="38" t="n">
        <v>6</v>
      </c>
      <c r="I12" s="38" t="n">
        <v>5</v>
      </c>
      <c r="J12" s="38" t="n">
        <v>3</v>
      </c>
      <c r="K12" s="38" t="n">
        <v>6</v>
      </c>
      <c r="L12" s="38" t="n">
        <v>6</v>
      </c>
      <c r="M12" s="38" t="n">
        <v>6</v>
      </c>
      <c r="N12" s="38" t="n">
        <v>5</v>
      </c>
      <c r="O12" s="38" t="n">
        <v>5</v>
      </c>
      <c r="P12" s="38" t="n">
        <v>4</v>
      </c>
      <c r="Q12" s="38" t="n">
        <v>4</v>
      </c>
      <c r="R12" s="38" t="n">
        <v>6</v>
      </c>
      <c r="S12" s="38" t="n">
        <v>5</v>
      </c>
      <c r="T12" s="38" t="n">
        <v>4</v>
      </c>
      <c r="U12" s="38" t="n">
        <v>7</v>
      </c>
      <c r="V12" s="39" t="n">
        <f aca="false">IF(COUNT(D12:U12)=18,SUM(D12:U12),IF(W12="","",W12))</f>
        <v>96</v>
      </c>
      <c r="W12" s="20"/>
      <c r="X12" s="38" t="n">
        <v>20</v>
      </c>
      <c r="Y12" s="15" t="n">
        <f aca="false">IF(X12="","",MIN(X12,Supuestos!$F$5))</f>
        <v>20</v>
      </c>
      <c r="Z12" s="39" t="n">
        <f aca="false">IF(OR(V12="",Y12=""),"",V12-Y12)</f>
        <v>76</v>
      </c>
      <c r="AA12" s="15" t="n">
        <f aca="false">IF(Z12="","",COUNTIF($Z$6:$Z$21,"&lt;"&amp;Z12)+1)</f>
        <v>3</v>
      </c>
      <c r="AB12" s="15" t="n">
        <f aca="false">IF(Z12="","",COUNTIF($Z$6:$Z$21,Z12))</f>
        <v>3</v>
      </c>
      <c r="AC12" s="40" t="n">
        <f aca="false">IF(Z12="","",ROUND(SUMPRODUCT((Supuestos!$A$5:$A$28&gt;=AA12)*(Supuestos!$A$5:$A$28&lt;AA12+AB12)*Supuestos!$B$5:$B$28)/AB12*Supuestos!$F$6,0))</f>
        <v>157</v>
      </c>
      <c r="AD12" s="15" t="n">
        <f aca="false">IF(0=1,0,IFERROR(INDEX(Jugadores!$E$5:$E$21,MATCH(A12,Jugadores!$A$5:$A$21,0)),0))</f>
        <v>1</v>
      </c>
      <c r="AE12" s="31" t="n">
        <f aca="false">IF(OR(AC12="",AD12=0),0,AC12)</f>
        <v>157</v>
      </c>
      <c r="AF12" s="15" t="n">
        <f aca="false">IF(COUNT(D12:U12)&lt;18,"",SUMPRODUCT(--((D12:U12)-$D$4:$U$4&lt;=-2)))</f>
        <v>0</v>
      </c>
      <c r="AG12" s="15" t="n">
        <f aca="false">IF(COUNT(D12:U12)&lt;18,"",SUMPRODUCT(--((D12:U12)-$D$4:$U$4=-1)))</f>
        <v>0</v>
      </c>
      <c r="AH12" s="15" t="n">
        <f aca="false">IF(COUNT(D12:U12)&lt;18,"",SUMPRODUCT(--((D12:U12)-$D$4:$U$4=0)))</f>
        <v>4</v>
      </c>
      <c r="AI12" s="15" t="n">
        <f aca="false">IF(COUNT(D12:U12)&lt;18,"",SUMPRODUCT(--((D12:U12)-$D$4:$U$4=1)))</f>
        <v>5</v>
      </c>
      <c r="AJ12" s="15" t="n">
        <f aca="false">IF(COUNT(D12:U12)&lt;18,"",SUMPRODUCT(--((D12:U12)-$D$4:$U$4&gt;=2)))</f>
        <v>9</v>
      </c>
    </row>
    <row r="13" customFormat="false" ht="15" hidden="false" customHeight="false" outlineLevel="0" collapsed="false">
      <c r="A13" s="36" t="s">
        <v>65</v>
      </c>
      <c r="B13" s="37" t="s">
        <v>66</v>
      </c>
      <c r="C13" s="38" t="s">
        <v>52</v>
      </c>
      <c r="D13" s="38" t="n">
        <v>8</v>
      </c>
      <c r="E13" s="38" t="n">
        <v>3</v>
      </c>
      <c r="F13" s="38" t="n">
        <v>10</v>
      </c>
      <c r="G13" s="38" t="n">
        <v>6</v>
      </c>
      <c r="H13" s="38" t="n">
        <v>5</v>
      </c>
      <c r="I13" s="38" t="n">
        <v>8</v>
      </c>
      <c r="J13" s="38" t="n">
        <v>5</v>
      </c>
      <c r="K13" s="38" t="n">
        <v>6</v>
      </c>
      <c r="L13" s="38" t="n">
        <v>6</v>
      </c>
      <c r="M13" s="38" t="n">
        <v>4</v>
      </c>
      <c r="N13" s="38" t="n">
        <v>10</v>
      </c>
      <c r="O13" s="38" t="n">
        <v>5</v>
      </c>
      <c r="P13" s="38" t="n">
        <v>9</v>
      </c>
      <c r="Q13" s="38" t="n">
        <v>5</v>
      </c>
      <c r="R13" s="38" t="n">
        <v>6</v>
      </c>
      <c r="S13" s="38" t="n">
        <v>4</v>
      </c>
      <c r="T13" s="38" t="n">
        <v>3</v>
      </c>
      <c r="U13" s="38" t="n">
        <v>6</v>
      </c>
      <c r="V13" s="39" t="n">
        <f aca="false">IF(COUNT(D13:U13)=18,SUM(D13:U13),IF(W13="","",W13))</f>
        <v>109</v>
      </c>
      <c r="W13" s="20"/>
      <c r="X13" s="38" t="n">
        <v>26</v>
      </c>
      <c r="Y13" s="15" t="n">
        <f aca="false">IF(X13="","",MIN(X13,Supuestos!$F$5))</f>
        <v>26</v>
      </c>
      <c r="Z13" s="39" t="n">
        <f aca="false">IF(OR(V13="",Y13=""),"",V13-Y13)</f>
        <v>83</v>
      </c>
      <c r="AA13" s="15" t="n">
        <f aca="false">IF(Z13="","",COUNTIF($Z$6:$Z$21,"&lt;"&amp;Z13)+1)</f>
        <v>13</v>
      </c>
      <c r="AB13" s="15" t="n">
        <f aca="false">IF(Z13="","",COUNTIF($Z$6:$Z$21,Z13))</f>
        <v>1</v>
      </c>
      <c r="AC13" s="40" t="n">
        <f aca="false">IF(Z13="","",ROUND(SUMPRODUCT((Supuestos!$A$5:$A$28&gt;=AA13)*(Supuestos!$A$5:$A$28&lt;AA13+AB13)*Supuestos!$B$5:$B$28)/AB13*Supuestos!$F$6,0))</f>
        <v>20</v>
      </c>
      <c r="AD13" s="15" t="n">
        <f aca="false">IF(0=1,0,IFERROR(INDEX(Jugadores!$E$5:$E$21,MATCH(A13,Jugadores!$A$5:$A$21,0)),0))</f>
        <v>1</v>
      </c>
      <c r="AE13" s="31" t="n">
        <f aca="false">IF(OR(AC13="",AD13=0),0,AC13)</f>
        <v>20</v>
      </c>
      <c r="AF13" s="15" t="n">
        <f aca="false">IF(COUNT(D13:U13)&lt;18,"",SUMPRODUCT(--((D13:U13)-$D$4:$U$4&lt;=-2)))</f>
        <v>0</v>
      </c>
      <c r="AG13" s="15" t="n">
        <f aca="false">IF(COUNT(D13:U13)&lt;18,"",SUMPRODUCT(--((D13:U13)-$D$4:$U$4=-1)))</f>
        <v>0</v>
      </c>
      <c r="AH13" s="15" t="n">
        <f aca="false">IF(COUNT(D13:U13)&lt;18,"",SUMPRODUCT(--((D13:U13)-$D$4:$U$4=0)))</f>
        <v>4</v>
      </c>
      <c r="AI13" s="15" t="n">
        <f aca="false">IF(COUNT(D13:U13)&lt;18,"",SUMPRODUCT(--((D13:U13)-$D$4:$U$4=1)))</f>
        <v>4</v>
      </c>
      <c r="AJ13" s="15" t="n">
        <f aca="false">IF(COUNT(D13:U13)&lt;18,"",SUMPRODUCT(--((D13:U13)-$D$4:$U$4&gt;=2)))</f>
        <v>10</v>
      </c>
    </row>
    <row r="14" customFormat="false" ht="15" hidden="false" customHeight="false" outlineLevel="0" collapsed="false">
      <c r="A14" s="36" t="s">
        <v>67</v>
      </c>
      <c r="B14" s="37" t="s">
        <v>68</v>
      </c>
      <c r="C14" s="38" t="s">
        <v>69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39" t="str">
        <f aca="false">IF(COUNT(D14:U14)=18,SUM(D14:U14),IF(W14="","",W14))</f>
        <v/>
      </c>
      <c r="W14" s="20"/>
      <c r="X14" s="20"/>
      <c r="Y14" s="15" t="str">
        <f aca="false">IF(X14="","",MIN(X14,Supuestos!$F$5))</f>
        <v/>
      </c>
      <c r="Z14" s="39" t="str">
        <f aca="false">IF(OR(V14="",Y14=""),"",V14-Y14)</f>
        <v/>
      </c>
      <c r="AA14" s="15" t="str">
        <f aca="false">IF(Z14="","",COUNTIF($Z$6:$Z$21,"&lt;"&amp;Z14)+1)</f>
        <v/>
      </c>
      <c r="AB14" s="15" t="str">
        <f aca="false">IF(Z14="","",COUNTIF($Z$6:$Z$21,Z14))</f>
        <v/>
      </c>
      <c r="AC14" s="40" t="str">
        <f aca="false">IF(Z14="","",ROUND(SUMPRODUCT((Supuestos!$A$5:$A$28&gt;=AA14)*(Supuestos!$A$5:$A$28&lt;AA14+AB14)*Supuestos!$B$5:$B$28)/AB14*Supuestos!$F$6,0))</f>
        <v/>
      </c>
      <c r="AD14" s="15" t="n">
        <f aca="false">IF(0=1,0,IFERROR(INDEX(Jugadores!$E$5:$E$21,MATCH(A14,Jugadores!$A$5:$A$21,0)),0))</f>
        <v>1</v>
      </c>
      <c r="AE14" s="31" t="n">
        <f aca="false">IF(OR(AC14="",AD14=0),0,AC14)</f>
        <v>0</v>
      </c>
      <c r="AF14" s="15" t="str">
        <f aca="false">IF(COUNT(D14:U14)&lt;18,"",SUMPRODUCT(--((D14:U14)-$D$4:$U$4&lt;=-2)))</f>
        <v/>
      </c>
      <c r="AG14" s="15" t="str">
        <f aca="false">IF(COUNT(D14:U14)&lt;18,"",SUMPRODUCT(--((D14:U14)-$D$4:$U$4=-1)))</f>
        <v/>
      </c>
      <c r="AH14" s="15" t="str">
        <f aca="false">IF(COUNT(D14:U14)&lt;18,"",SUMPRODUCT(--((D14:U14)-$D$4:$U$4=0)))</f>
        <v/>
      </c>
      <c r="AI14" s="15" t="str">
        <f aca="false">IF(COUNT(D14:U14)&lt;18,"",SUMPRODUCT(--((D14:U14)-$D$4:$U$4=1)))</f>
        <v/>
      </c>
      <c r="AJ14" s="15" t="str">
        <f aca="false">IF(COUNT(D14:U14)&lt;18,"",SUMPRODUCT(--((D14:U14)-$D$4:$U$4&gt;=2)))</f>
        <v/>
      </c>
    </row>
    <row r="15" customFormat="false" ht="15" hidden="false" customHeight="false" outlineLevel="0" collapsed="false">
      <c r="A15" s="36" t="s">
        <v>70</v>
      </c>
      <c r="B15" s="37" t="s">
        <v>71</v>
      </c>
      <c r="C15" s="38" t="s">
        <v>69</v>
      </c>
      <c r="D15" s="38" t="n">
        <v>7</v>
      </c>
      <c r="E15" s="38" t="n">
        <v>3</v>
      </c>
      <c r="F15" s="38" t="n">
        <v>4</v>
      </c>
      <c r="G15" s="38" t="n">
        <v>6</v>
      </c>
      <c r="H15" s="38" t="n">
        <v>5</v>
      </c>
      <c r="I15" s="38" t="n">
        <v>4</v>
      </c>
      <c r="J15" s="38" t="n">
        <v>5</v>
      </c>
      <c r="K15" s="38" t="n">
        <v>4</v>
      </c>
      <c r="L15" s="38" t="n">
        <v>5</v>
      </c>
      <c r="M15" s="38" t="n">
        <v>5</v>
      </c>
      <c r="N15" s="38" t="n">
        <v>6</v>
      </c>
      <c r="O15" s="38" t="n">
        <v>5</v>
      </c>
      <c r="P15" s="38" t="n">
        <v>5</v>
      </c>
      <c r="Q15" s="38" t="n">
        <v>4</v>
      </c>
      <c r="R15" s="38" t="n">
        <v>6</v>
      </c>
      <c r="S15" s="38" t="n">
        <v>6</v>
      </c>
      <c r="T15" s="38" t="n">
        <v>4</v>
      </c>
      <c r="U15" s="38" t="n">
        <v>5</v>
      </c>
      <c r="V15" s="39" t="n">
        <f aca="false">IF(COUNT(D15:U15)=18,SUM(D15:U15),IF(W15="","",W15))</f>
        <v>89</v>
      </c>
      <c r="W15" s="20"/>
      <c r="X15" s="38" t="n">
        <v>14</v>
      </c>
      <c r="Y15" s="15" t="n">
        <f aca="false">IF(X15="","",MIN(X15,Supuestos!$F$5))</f>
        <v>14</v>
      </c>
      <c r="Z15" s="39" t="n">
        <f aca="false">IF(OR(V15="",Y15=""),"",V15-Y15)</f>
        <v>75</v>
      </c>
      <c r="AA15" s="15" t="n">
        <f aca="false">IF(Z15="","",COUNTIF($Z$6:$Z$21,"&lt;"&amp;Z15)+1)</f>
        <v>2</v>
      </c>
      <c r="AB15" s="15" t="n">
        <f aca="false">IF(Z15="","",COUNTIF($Z$6:$Z$21,Z15))</f>
        <v>1</v>
      </c>
      <c r="AC15" s="40" t="n">
        <f aca="false">IF(Z15="","",ROUND(SUMPRODUCT((Supuestos!$A$5:$A$28&gt;=AA15)*(Supuestos!$A$5:$A$28&lt;AA15+AB15)*Supuestos!$B$5:$B$28)/AB15*Supuestos!$F$6,0))</f>
        <v>300</v>
      </c>
      <c r="AD15" s="15" t="n">
        <f aca="false">IF(0=1,0,IFERROR(INDEX(Jugadores!$E$5:$E$21,MATCH(A15,Jugadores!$A$5:$A$21,0)),0))</f>
        <v>1</v>
      </c>
      <c r="AE15" s="31" t="n">
        <f aca="false">IF(OR(AC15="",AD15=0),0,AC15)</f>
        <v>300</v>
      </c>
      <c r="AF15" s="15" t="n">
        <f aca="false">IF(COUNT(D15:U15)&lt;18,"",SUMPRODUCT(--((D15:U15)-$D$4:$U$4&lt;=-2)))</f>
        <v>0</v>
      </c>
      <c r="AG15" s="15" t="n">
        <f aca="false">IF(COUNT(D15:U15)&lt;18,"",SUMPRODUCT(--((D15:U15)-$D$4:$U$4=-1)))</f>
        <v>0</v>
      </c>
      <c r="AH15" s="15" t="n">
        <f aca="false">IF(COUNT(D15:U15)&lt;18,"",SUMPRODUCT(--((D15:U15)-$D$4:$U$4=0)))</f>
        <v>5</v>
      </c>
      <c r="AI15" s="15" t="n">
        <f aca="false">IF(COUNT(D15:U15)&lt;18,"",SUMPRODUCT(--((D15:U15)-$D$4:$U$4=1)))</f>
        <v>9</v>
      </c>
      <c r="AJ15" s="15" t="n">
        <f aca="false">IF(COUNT(D15:U15)&lt;18,"",SUMPRODUCT(--((D15:U15)-$D$4:$U$4&gt;=2)))</f>
        <v>4</v>
      </c>
    </row>
    <row r="16" customFormat="false" ht="15" hidden="false" customHeight="false" outlineLevel="0" collapsed="false">
      <c r="A16" s="36" t="s">
        <v>72</v>
      </c>
      <c r="B16" s="37" t="s">
        <v>73</v>
      </c>
      <c r="C16" s="38" t="s">
        <v>69</v>
      </c>
      <c r="D16" s="38" t="n">
        <v>6</v>
      </c>
      <c r="E16" s="38" t="n">
        <v>3</v>
      </c>
      <c r="F16" s="38" t="n">
        <v>6</v>
      </c>
      <c r="G16" s="38" t="n">
        <v>7</v>
      </c>
      <c r="H16" s="38" t="n">
        <v>5</v>
      </c>
      <c r="I16" s="38" t="n">
        <v>5</v>
      </c>
      <c r="J16" s="38" t="n">
        <v>4</v>
      </c>
      <c r="K16" s="38" t="n">
        <v>5</v>
      </c>
      <c r="L16" s="38" t="n">
        <v>5</v>
      </c>
      <c r="M16" s="38" t="n">
        <v>6</v>
      </c>
      <c r="N16" s="38" t="n">
        <v>6</v>
      </c>
      <c r="O16" s="38" t="n">
        <v>6</v>
      </c>
      <c r="P16" s="38" t="n">
        <v>5</v>
      </c>
      <c r="Q16" s="38" t="n">
        <v>4</v>
      </c>
      <c r="R16" s="38" t="n">
        <v>5</v>
      </c>
      <c r="S16" s="38" t="n">
        <v>7</v>
      </c>
      <c r="T16" s="38" t="n">
        <v>5</v>
      </c>
      <c r="U16" s="38" t="n">
        <v>5</v>
      </c>
      <c r="V16" s="39" t="n">
        <f aca="false">IF(COUNT(D16:U16)=18,SUM(D16:U16),IF(W16="","",W16))</f>
        <v>95</v>
      </c>
      <c r="W16" s="20"/>
      <c r="X16" s="38" t="n">
        <v>16</v>
      </c>
      <c r="Y16" s="15" t="n">
        <f aca="false">IF(X16="","",MIN(X16,Supuestos!$F$5))</f>
        <v>16</v>
      </c>
      <c r="Z16" s="39" t="n">
        <f aca="false">IF(OR(V16="",Y16=""),"",V16-Y16)</f>
        <v>79</v>
      </c>
      <c r="AA16" s="15" t="n">
        <f aca="false">IF(Z16="","",COUNTIF($Z$6:$Z$21,"&lt;"&amp;Z16)+1)</f>
        <v>8</v>
      </c>
      <c r="AB16" s="15" t="n">
        <f aca="false">IF(Z16="","",COUNTIF($Z$6:$Z$21,Z16))</f>
        <v>2</v>
      </c>
      <c r="AC16" s="40" t="n">
        <f aca="false">IF(Z16="","",ROUND(SUMPRODUCT((Supuestos!$A$5:$A$28&gt;=AA16)*(Supuestos!$A$5:$A$28&lt;AA16+AB16)*Supuestos!$B$5:$B$28)/AB16*Supuestos!$F$6,0))</f>
        <v>78</v>
      </c>
      <c r="AD16" s="15" t="n">
        <f aca="false">IF(0=1,0,IFERROR(INDEX(Jugadores!$E$5:$E$21,MATCH(A16,Jugadores!$A$5:$A$21,0)),0))</f>
        <v>1</v>
      </c>
      <c r="AE16" s="31" t="n">
        <f aca="false">IF(OR(AC16="",AD16=0),0,AC16)</f>
        <v>78</v>
      </c>
      <c r="AF16" s="15" t="n">
        <f aca="false">IF(COUNT(D16:U16)&lt;18,"",SUMPRODUCT(--((D16:U16)-$D$4:$U$4&lt;=-2)))</f>
        <v>0</v>
      </c>
      <c r="AG16" s="15" t="n">
        <f aca="false">IF(COUNT(D16:U16)&lt;18,"",SUMPRODUCT(--((D16:U16)-$D$4:$U$4=-1)))</f>
        <v>0</v>
      </c>
      <c r="AH16" s="15" t="n">
        <f aca="false">IF(COUNT(D16:U16)&lt;18,"",SUMPRODUCT(--((D16:U16)-$D$4:$U$4=0)))</f>
        <v>2</v>
      </c>
      <c r="AI16" s="15" t="n">
        <f aca="false">IF(COUNT(D16:U16)&lt;18,"",SUMPRODUCT(--((D16:U16)-$D$4:$U$4=1)))</f>
        <v>10</v>
      </c>
      <c r="AJ16" s="15" t="n">
        <f aca="false">IF(COUNT(D16:U16)&lt;18,"",SUMPRODUCT(--((D16:U16)-$D$4:$U$4&gt;=2)))</f>
        <v>6</v>
      </c>
    </row>
    <row r="17" customFormat="false" ht="15" hidden="false" customHeight="false" outlineLevel="0" collapsed="false">
      <c r="A17" s="36" t="s">
        <v>74</v>
      </c>
      <c r="B17" s="37" t="s">
        <v>75</v>
      </c>
      <c r="C17" s="38" t="s">
        <v>69</v>
      </c>
      <c r="D17" s="38" t="n">
        <v>7</v>
      </c>
      <c r="E17" s="38" t="n">
        <v>4</v>
      </c>
      <c r="F17" s="38" t="n">
        <v>7</v>
      </c>
      <c r="G17" s="38" t="n">
        <v>6</v>
      </c>
      <c r="H17" s="38" t="n">
        <v>5</v>
      </c>
      <c r="I17" s="38" t="n">
        <v>7</v>
      </c>
      <c r="J17" s="38" t="n">
        <v>5</v>
      </c>
      <c r="K17" s="38" t="n">
        <v>5</v>
      </c>
      <c r="L17" s="38" t="n">
        <v>5</v>
      </c>
      <c r="M17" s="38" t="n">
        <v>5</v>
      </c>
      <c r="N17" s="38" t="n">
        <v>6</v>
      </c>
      <c r="O17" s="38" t="n">
        <v>5</v>
      </c>
      <c r="P17" s="38" t="n">
        <v>3</v>
      </c>
      <c r="Q17" s="38" t="n">
        <v>3</v>
      </c>
      <c r="R17" s="38" t="n">
        <v>5</v>
      </c>
      <c r="S17" s="38" t="n">
        <v>5</v>
      </c>
      <c r="T17" s="38" t="n">
        <v>4</v>
      </c>
      <c r="U17" s="38" t="n">
        <v>6</v>
      </c>
      <c r="V17" s="39" t="n">
        <f aca="false">IF(COUNT(D17:U17)=18,SUM(D17:U17),IF(W17="","",W17))</f>
        <v>93</v>
      </c>
      <c r="W17" s="20"/>
      <c r="X17" s="38" t="n">
        <v>15</v>
      </c>
      <c r="Y17" s="15" t="n">
        <f aca="false">IF(X17="","",MIN(X17,Supuestos!$F$5))</f>
        <v>15</v>
      </c>
      <c r="Z17" s="39" t="n">
        <f aca="false">IF(OR(V17="",Y17=""),"",V17-Y17)</f>
        <v>78</v>
      </c>
      <c r="AA17" s="15" t="n">
        <f aca="false">IF(Z17="","",COUNTIF($Z$6:$Z$21,"&lt;"&amp;Z17)+1)</f>
        <v>7</v>
      </c>
      <c r="AB17" s="15" t="n">
        <f aca="false">IF(Z17="","",COUNTIF($Z$6:$Z$21,Z17))</f>
        <v>1</v>
      </c>
      <c r="AC17" s="40" t="n">
        <f aca="false">IF(Z17="","",ROUND(SUMPRODUCT((Supuestos!$A$5:$A$28&gt;=AA17)*(Supuestos!$A$5:$A$28&lt;AA17+AB17)*Supuestos!$B$5:$B$28)/AB17*Supuestos!$F$6,0))</f>
        <v>90</v>
      </c>
      <c r="AD17" s="15" t="n">
        <f aca="false">IF(0=1,0,IFERROR(INDEX(Jugadores!$E$5:$E$21,MATCH(A17,Jugadores!$A$5:$A$21,0)),0))</f>
        <v>1</v>
      </c>
      <c r="AE17" s="31" t="n">
        <f aca="false">IF(OR(AC17="",AD17=0),0,AC17)</f>
        <v>90</v>
      </c>
      <c r="AF17" s="15" t="n">
        <f aca="false">IF(COUNT(D17:U17)&lt;18,"",SUMPRODUCT(--((D17:U17)-$D$4:$U$4&lt;=-2)))</f>
        <v>0</v>
      </c>
      <c r="AG17" s="15" t="n">
        <f aca="false">IF(COUNT(D17:U17)&lt;18,"",SUMPRODUCT(--((D17:U17)-$D$4:$U$4=-1)))</f>
        <v>1</v>
      </c>
      <c r="AH17" s="15" t="n">
        <f aca="false">IF(COUNT(D17:U17)&lt;18,"",SUMPRODUCT(--((D17:U17)-$D$4:$U$4=0)))</f>
        <v>1</v>
      </c>
      <c r="AI17" s="15" t="n">
        <f aca="false">IF(COUNT(D17:U17)&lt;18,"",SUMPRODUCT(--((D17:U17)-$D$4:$U$4=1)))</f>
        <v>12</v>
      </c>
      <c r="AJ17" s="15" t="n">
        <f aca="false">IF(COUNT(D17:U17)&lt;18,"",SUMPRODUCT(--((D17:U17)-$D$4:$U$4&gt;=2)))</f>
        <v>4</v>
      </c>
    </row>
    <row r="18" customFormat="false" ht="15" hidden="false" customHeight="false" outlineLevel="0" collapsed="false">
      <c r="A18" s="36" t="s">
        <v>76</v>
      </c>
      <c r="B18" s="37" t="s">
        <v>77</v>
      </c>
      <c r="C18" s="38" t="s">
        <v>69</v>
      </c>
      <c r="D18" s="38" t="n">
        <v>8</v>
      </c>
      <c r="E18" s="38" t="n">
        <v>4</v>
      </c>
      <c r="F18" s="38" t="n">
        <v>6</v>
      </c>
      <c r="G18" s="38" t="n">
        <v>5</v>
      </c>
      <c r="H18" s="38" t="n">
        <v>4</v>
      </c>
      <c r="I18" s="38" t="n">
        <v>5</v>
      </c>
      <c r="J18" s="38" t="n">
        <v>3</v>
      </c>
      <c r="K18" s="38" t="n">
        <v>6</v>
      </c>
      <c r="L18" s="38" t="n">
        <v>5</v>
      </c>
      <c r="M18" s="38" t="n">
        <v>5</v>
      </c>
      <c r="N18" s="38" t="n">
        <v>6</v>
      </c>
      <c r="O18" s="38" t="n">
        <v>5</v>
      </c>
      <c r="P18" s="38" t="n">
        <v>6</v>
      </c>
      <c r="Q18" s="38" t="n">
        <v>4</v>
      </c>
      <c r="R18" s="38" t="n">
        <v>6</v>
      </c>
      <c r="S18" s="38" t="n">
        <v>5</v>
      </c>
      <c r="T18" s="38" t="n">
        <v>4</v>
      </c>
      <c r="U18" s="38" t="n">
        <v>5</v>
      </c>
      <c r="V18" s="39" t="n">
        <f aca="false">IF(COUNT(D18:U18)=18,SUM(D18:U18),IF(W18="","",W18))</f>
        <v>92</v>
      </c>
      <c r="W18" s="20"/>
      <c r="X18" s="38" t="n">
        <v>16</v>
      </c>
      <c r="Y18" s="15" t="n">
        <f aca="false">IF(X18="","",MIN(X18,Supuestos!$F$5))</f>
        <v>16</v>
      </c>
      <c r="Z18" s="39" t="n">
        <f aca="false">IF(OR(V18="",Y18=""),"",V18-Y18)</f>
        <v>76</v>
      </c>
      <c r="AA18" s="15" t="n">
        <f aca="false">IF(Z18="","",COUNTIF($Z$6:$Z$21,"&lt;"&amp;Z18)+1)</f>
        <v>3</v>
      </c>
      <c r="AB18" s="15" t="n">
        <f aca="false">IF(Z18="","",COUNTIF($Z$6:$Z$21,Z18))</f>
        <v>3</v>
      </c>
      <c r="AC18" s="40" t="n">
        <f aca="false">IF(Z18="","",ROUND(SUMPRODUCT((Supuestos!$A$5:$A$28&gt;=AA18)*(Supuestos!$A$5:$A$28&lt;AA18+AB18)*Supuestos!$B$5:$B$28)/AB18*Supuestos!$F$6,0))</f>
        <v>157</v>
      </c>
      <c r="AD18" s="15" t="n">
        <f aca="false">IF(0=1,0,IFERROR(INDEX(Jugadores!$E$5:$E$21,MATCH(A18,Jugadores!$A$5:$A$21,0)),0))</f>
        <v>1</v>
      </c>
      <c r="AE18" s="31" t="n">
        <f aca="false">IF(OR(AC18="",AD18=0),0,AC18)</f>
        <v>157</v>
      </c>
      <c r="AF18" s="15" t="n">
        <f aca="false">IF(COUNT(D18:U18)&lt;18,"",SUMPRODUCT(--((D18:U18)-$D$4:$U$4&lt;=-2)))</f>
        <v>0</v>
      </c>
      <c r="AG18" s="15" t="n">
        <f aca="false">IF(COUNT(D18:U18)&lt;18,"",SUMPRODUCT(--((D18:U18)-$D$4:$U$4=-1)))</f>
        <v>0</v>
      </c>
      <c r="AH18" s="15" t="n">
        <f aca="false">IF(COUNT(D18:U18)&lt;18,"",SUMPRODUCT(--((D18:U18)-$D$4:$U$4=0)))</f>
        <v>4</v>
      </c>
      <c r="AI18" s="15" t="n">
        <f aca="false">IF(COUNT(D18:U18)&lt;18,"",SUMPRODUCT(--((D18:U18)-$D$4:$U$4=1)))</f>
        <v>9</v>
      </c>
      <c r="AJ18" s="15" t="n">
        <f aca="false">IF(COUNT(D18:U18)&lt;18,"",SUMPRODUCT(--((D18:U18)-$D$4:$U$4&gt;=2)))</f>
        <v>5</v>
      </c>
    </row>
    <row r="19" customFormat="false" ht="15" hidden="false" customHeight="false" outlineLevel="0" collapsed="false">
      <c r="A19" s="36" t="s">
        <v>78</v>
      </c>
      <c r="B19" s="37" t="s">
        <v>79</v>
      </c>
      <c r="C19" s="38" t="s">
        <v>69</v>
      </c>
      <c r="D19" s="38" t="n">
        <v>5</v>
      </c>
      <c r="E19" s="38" t="n">
        <v>3</v>
      </c>
      <c r="F19" s="38" t="n">
        <v>6</v>
      </c>
      <c r="G19" s="38" t="n">
        <v>9</v>
      </c>
      <c r="H19" s="38" t="n">
        <v>5</v>
      </c>
      <c r="I19" s="38" t="n">
        <v>5</v>
      </c>
      <c r="J19" s="38" t="n">
        <v>3</v>
      </c>
      <c r="K19" s="38" t="n">
        <v>4</v>
      </c>
      <c r="L19" s="38" t="n">
        <v>4</v>
      </c>
      <c r="M19" s="38" t="n">
        <v>4</v>
      </c>
      <c r="N19" s="38" t="n">
        <v>5</v>
      </c>
      <c r="O19" s="38" t="n">
        <v>7</v>
      </c>
      <c r="P19" s="38" t="n">
        <v>10</v>
      </c>
      <c r="Q19" s="38" t="n">
        <v>8</v>
      </c>
      <c r="R19" s="38" t="n">
        <v>6</v>
      </c>
      <c r="S19" s="38" t="n">
        <v>5</v>
      </c>
      <c r="T19" s="38" t="n">
        <v>3</v>
      </c>
      <c r="U19" s="38" t="n">
        <v>5</v>
      </c>
      <c r="V19" s="39" t="n">
        <f aca="false">IF(COUNT(D19:U19)=18,SUM(D19:U19),IF(W19="","",W19))</f>
        <v>97</v>
      </c>
      <c r="W19" s="20"/>
      <c r="X19" s="38" t="n">
        <v>17</v>
      </c>
      <c r="Y19" s="15" t="n">
        <f aca="false">IF(X19="","",MIN(X19,Supuestos!$F$5))</f>
        <v>17</v>
      </c>
      <c r="Z19" s="39" t="n">
        <f aca="false">IF(OR(V19="",Y19=""),"",V19-Y19)</f>
        <v>80</v>
      </c>
      <c r="AA19" s="15" t="n">
        <f aca="false">IF(Z19="","",COUNTIF($Z$6:$Z$21,"&lt;"&amp;Z19)+1)</f>
        <v>10</v>
      </c>
      <c r="AB19" s="15" t="n">
        <f aca="false">IF(Z19="","",COUNTIF($Z$6:$Z$21,Z19))</f>
        <v>2</v>
      </c>
      <c r="AC19" s="40" t="n">
        <f aca="false">IF(Z19="","",ROUND(SUMPRODUCT((Supuestos!$A$5:$A$28&gt;=AA19)*(Supuestos!$A$5:$A$28&lt;AA19+AB19)*Supuestos!$B$5:$B$28)/AB19*Supuestos!$F$6,0))</f>
        <v>45</v>
      </c>
      <c r="AD19" s="15" t="n">
        <f aca="false">IF(0=1,0,IFERROR(INDEX(Jugadores!$E$5:$E$21,MATCH(A19,Jugadores!$A$5:$A$21,0)),0))</f>
        <v>1</v>
      </c>
      <c r="AE19" s="31" t="n">
        <f aca="false">IF(OR(AC19="",AD19=0),0,AC19)</f>
        <v>45</v>
      </c>
      <c r="AF19" s="15" t="n">
        <f aca="false">IF(COUNT(D19:U19)&lt;18,"",SUMPRODUCT(--((D19:U19)-$D$4:$U$4&lt;=-2)))</f>
        <v>0</v>
      </c>
      <c r="AG19" s="15" t="n">
        <f aca="false">IF(COUNT(D19:U19)&lt;18,"",SUMPRODUCT(--((D19:U19)-$D$4:$U$4=-1)))</f>
        <v>0</v>
      </c>
      <c r="AH19" s="15" t="n">
        <f aca="false">IF(COUNT(D19:U19)&lt;18,"",SUMPRODUCT(--((D19:U19)-$D$4:$U$4=0)))</f>
        <v>9</v>
      </c>
      <c r="AI19" s="15" t="n">
        <f aca="false">IF(COUNT(D19:U19)&lt;18,"",SUMPRODUCT(--((D19:U19)-$D$4:$U$4=1)))</f>
        <v>3</v>
      </c>
      <c r="AJ19" s="15" t="n">
        <f aca="false">IF(COUNT(D19:U19)&lt;18,"",SUMPRODUCT(--((D19:U19)-$D$4:$U$4&gt;=2)))</f>
        <v>6</v>
      </c>
    </row>
    <row r="20" customFormat="false" ht="15" hidden="false" customHeight="false" outlineLevel="0" collapsed="false">
      <c r="A20" s="36" t="s">
        <v>80</v>
      </c>
      <c r="B20" s="37" t="s">
        <v>81</v>
      </c>
      <c r="C20" s="38" t="s">
        <v>69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39" t="str">
        <f aca="false">IF(COUNT(D20:U20)=18,SUM(D20:U20),IF(W20="","",W20))</f>
        <v/>
      </c>
      <c r="W20" s="20"/>
      <c r="X20" s="20"/>
      <c r="Y20" s="15" t="str">
        <f aca="false">IF(X20="","",MIN(X20,Supuestos!$F$5))</f>
        <v/>
      </c>
      <c r="Z20" s="39" t="str">
        <f aca="false">IF(OR(V20="",Y20=""),"",V20-Y20)</f>
        <v/>
      </c>
      <c r="AA20" s="15" t="str">
        <f aca="false">IF(Z20="","",COUNTIF($Z$6:$Z$21,"&lt;"&amp;Z20)+1)</f>
        <v/>
      </c>
      <c r="AB20" s="15" t="str">
        <f aca="false">IF(Z20="","",COUNTIF($Z$6:$Z$21,Z20))</f>
        <v/>
      </c>
      <c r="AC20" s="40" t="str">
        <f aca="false">IF(Z20="","",ROUND(SUMPRODUCT((Supuestos!$A$5:$A$28&gt;=AA20)*(Supuestos!$A$5:$A$28&lt;AA20+AB20)*Supuestos!$B$5:$B$28)/AB20*Supuestos!$F$6,0))</f>
        <v/>
      </c>
      <c r="AD20" s="15" t="n">
        <f aca="false">IF(0=1,0,IFERROR(INDEX(Jugadores!$E$5:$E$21,MATCH(A20,Jugadores!$A$5:$A$21,0)),0))</f>
        <v>1</v>
      </c>
      <c r="AE20" s="31" t="n">
        <f aca="false">IF(OR(AC20="",AD20=0),0,AC20)</f>
        <v>0</v>
      </c>
      <c r="AF20" s="15" t="str">
        <f aca="false">IF(COUNT(D20:U20)&lt;18,"",SUMPRODUCT(--((D20:U20)-$D$4:$U$4&lt;=-2)))</f>
        <v/>
      </c>
      <c r="AG20" s="15" t="str">
        <f aca="false">IF(COUNT(D20:U20)&lt;18,"",SUMPRODUCT(--((D20:U20)-$D$4:$U$4=-1)))</f>
        <v/>
      </c>
      <c r="AH20" s="15" t="str">
        <f aca="false">IF(COUNT(D20:U20)&lt;18,"",SUMPRODUCT(--((D20:U20)-$D$4:$U$4=0)))</f>
        <v/>
      </c>
      <c r="AI20" s="15" t="str">
        <f aca="false">IF(COUNT(D20:U20)&lt;18,"",SUMPRODUCT(--((D20:U20)-$D$4:$U$4=1)))</f>
        <v/>
      </c>
      <c r="AJ20" s="15" t="str">
        <f aca="false">IF(COUNT(D20:U20)&lt;18,"",SUMPRODUCT(--((D20:U20)-$D$4:$U$4&gt;=2)))</f>
        <v/>
      </c>
    </row>
    <row r="21" customFormat="false" ht="15" hidden="false" customHeight="false" outlineLevel="0" collapsed="false">
      <c r="A21" s="36" t="s">
        <v>82</v>
      </c>
      <c r="B21" s="37" t="s">
        <v>83</v>
      </c>
      <c r="C21" s="38" t="s">
        <v>69</v>
      </c>
      <c r="D21" s="38" t="n">
        <v>6</v>
      </c>
      <c r="E21" s="38" t="n">
        <v>4</v>
      </c>
      <c r="F21" s="38" t="n">
        <v>6</v>
      </c>
      <c r="G21" s="38" t="n">
        <v>6</v>
      </c>
      <c r="H21" s="38" t="n">
        <v>6</v>
      </c>
      <c r="I21" s="38" t="n">
        <v>7</v>
      </c>
      <c r="J21" s="38" t="n">
        <v>5</v>
      </c>
      <c r="K21" s="38" t="n">
        <v>5</v>
      </c>
      <c r="L21" s="38" t="n">
        <v>6</v>
      </c>
      <c r="M21" s="38" t="n">
        <v>4</v>
      </c>
      <c r="N21" s="38" t="n">
        <v>6</v>
      </c>
      <c r="O21" s="38" t="n">
        <v>5</v>
      </c>
      <c r="P21" s="38" t="n">
        <v>6</v>
      </c>
      <c r="Q21" s="38" t="n">
        <v>4</v>
      </c>
      <c r="R21" s="38" t="n">
        <v>6</v>
      </c>
      <c r="S21" s="38" t="n">
        <v>5</v>
      </c>
      <c r="T21" s="38" t="n">
        <v>3</v>
      </c>
      <c r="U21" s="38" t="n">
        <v>9</v>
      </c>
      <c r="V21" s="39" t="n">
        <f aca="false">IF(COUNT(D21:U21)=18,SUM(D21:U21),IF(W21="","",W21))</f>
        <v>99</v>
      </c>
      <c r="W21" s="20"/>
      <c r="X21" s="38" t="n">
        <v>19</v>
      </c>
      <c r="Y21" s="15" t="n">
        <f aca="false">IF(X21="","",MIN(X21,Supuestos!$F$5))</f>
        <v>19</v>
      </c>
      <c r="Z21" s="39" t="n">
        <f aca="false">IF(OR(V21="",Y21=""),"",V21-Y21)</f>
        <v>80</v>
      </c>
      <c r="AA21" s="15" t="n">
        <f aca="false">IF(Z21="","",COUNTIF($Z$6:$Z$21,"&lt;"&amp;Z21)+1)</f>
        <v>10</v>
      </c>
      <c r="AB21" s="15" t="n">
        <f aca="false">IF(Z21="","",COUNTIF($Z$6:$Z$21,Z21))</f>
        <v>2</v>
      </c>
      <c r="AC21" s="40" t="n">
        <f aca="false">IF(Z21="","",ROUND(SUMPRODUCT((Supuestos!$A$5:$A$28&gt;=AA21)*(Supuestos!$A$5:$A$28&lt;AA21+AB21)*Supuestos!$B$5:$B$28)/AB21*Supuestos!$F$6,0))</f>
        <v>45</v>
      </c>
      <c r="AD21" s="15" t="n">
        <f aca="false">IF(0=1,0,IFERROR(INDEX(Jugadores!$E$5:$E$21,MATCH(A21,Jugadores!$A$5:$A$21,0)),0))</f>
        <v>1</v>
      </c>
      <c r="AE21" s="31" t="n">
        <f aca="false">IF(OR(AC21="",AD21=0),0,AC21)</f>
        <v>45</v>
      </c>
      <c r="AF21" s="15" t="n">
        <f aca="false">IF(COUNT(D21:U21)&lt;18,"",SUMPRODUCT(--((D21:U21)-$D$4:$U$4&lt;=-2)))</f>
        <v>0</v>
      </c>
      <c r="AG21" s="15" t="n">
        <f aca="false">IF(COUNT(D21:U21)&lt;18,"",SUMPRODUCT(--((D21:U21)-$D$4:$U$4=-1)))</f>
        <v>0</v>
      </c>
      <c r="AH21" s="15" t="n">
        <f aca="false">IF(COUNT(D21:U21)&lt;18,"",SUMPRODUCT(--((D21:U21)-$D$4:$U$4=0)))</f>
        <v>2</v>
      </c>
      <c r="AI21" s="15" t="n">
        <f aca="false">IF(COUNT(D21:U21)&lt;18,"",SUMPRODUCT(--((D21:U21)-$D$4:$U$4=1)))</f>
        <v>8</v>
      </c>
      <c r="AJ21" s="15" t="n">
        <f aca="false">IF(COUNT(D21:U21)&lt;18,"",SUMPRODUCT(--((D21:U21)-$D$4:$U$4&gt;=2)))</f>
        <v>8</v>
      </c>
    </row>
    <row r="23" customFormat="false" ht="15" hidden="false" customHeight="false" outlineLevel="0" collapsed="false">
      <c r="B23" s="3" t="s">
        <v>152</v>
      </c>
    </row>
    <row r="24" customFormat="false" ht="15" hidden="false" customHeight="false" outlineLevel="0" collapsed="false">
      <c r="B24" s="4" t="s">
        <v>153</v>
      </c>
      <c r="C24" s="21" t="n">
        <f aca="false">COUNT(V6:V21)</f>
        <v>13</v>
      </c>
    </row>
    <row r="25" customFormat="false" ht="15" hidden="false" customHeight="false" outlineLevel="0" collapsed="false">
      <c r="B25" s="4" t="s">
        <v>154</v>
      </c>
      <c r="C25" s="42" t="n">
        <f aca="false">IFERROR(AVERAGE(V6:V21),"")</f>
        <v>94.5384615384615</v>
      </c>
    </row>
    <row r="26" customFormat="false" ht="15" hidden="false" customHeight="false" outlineLevel="0" collapsed="false">
      <c r="B26" s="4" t="s">
        <v>155</v>
      </c>
      <c r="C26" s="42" t="n">
        <f aca="false">IFERROR(AVERAGE(Z6:Z21),"")</f>
        <v>77.6923076923077</v>
      </c>
    </row>
    <row r="27" customFormat="false" ht="15" hidden="false" customHeight="false" outlineLevel="0" collapsed="false">
      <c r="B27" s="4" t="s">
        <v>156</v>
      </c>
      <c r="C27" s="21" t="n">
        <f aca="false">IFERROR(MIN(Z6:Z21),"")</f>
        <v>69</v>
      </c>
    </row>
    <row r="28" customFormat="false" ht="15" hidden="false" customHeight="false" outlineLevel="0" collapsed="false">
      <c r="B28" s="4" t="s">
        <v>157</v>
      </c>
      <c r="C28" s="21" t="n">
        <f aca="false">IFERROR(MIN(V6:V21),"")</f>
        <v>83</v>
      </c>
    </row>
    <row r="29" customFormat="false" ht="15" hidden="false" customHeight="false" outlineLevel="0" collapsed="false">
      <c r="B29" s="4" t="s">
        <v>158</v>
      </c>
      <c r="C29" s="21" t="n">
        <f aca="false">SUM(AF6:AF21)</f>
        <v>0</v>
      </c>
    </row>
    <row r="30" customFormat="false" ht="15" hidden="false" customHeight="false" outlineLevel="0" collapsed="false">
      <c r="B30" s="4" t="s">
        <v>159</v>
      </c>
      <c r="C30" s="21" t="n">
        <f aca="false">SUM(AG6:AG21)</f>
        <v>3</v>
      </c>
    </row>
    <row r="31" customFormat="false" ht="15" hidden="false" customHeight="false" outlineLevel="0" collapsed="false">
      <c r="B31" s="4" t="s">
        <v>160</v>
      </c>
      <c r="C31" s="21" t="n">
        <f aca="false">SUM(AH6:AH21)</f>
        <v>57</v>
      </c>
    </row>
    <row r="32" customFormat="false" ht="15" hidden="false" customHeight="false" outlineLevel="0" collapsed="false">
      <c r="B32" s="4" t="s">
        <v>161</v>
      </c>
      <c r="C32" s="21" t="n">
        <f aca="false">SUM(AI6:AI21)</f>
        <v>99</v>
      </c>
    </row>
    <row r="33" customFormat="false" ht="15" hidden="false" customHeight="false" outlineLevel="0" collapsed="false">
      <c r="B33" s="4" t="s">
        <v>162</v>
      </c>
      <c r="C33" s="21" t="n">
        <f aca="false">SUM(AJ6:AJ21)</f>
        <v>75</v>
      </c>
    </row>
  </sheetData>
  <conditionalFormatting sqref="D6:U21">
    <cfRule type="expression" priority="2" aboveAverage="0" equalAverage="0" bottom="0" percent="0" rank="0" text="" dxfId="0">
      <formula>AND(ISNUMBER(D6),D6-D$4&lt;=-2)</formula>
    </cfRule>
    <cfRule type="expression" priority="3" aboveAverage="0" equalAverage="0" bottom="0" percent="0" rank="0" text="" dxfId="1">
      <formula>AND(ISNUMBER(D6),D6-D$4=-1)</formula>
    </cfRule>
    <cfRule type="expression" priority="4" aboveAverage="0" equalAverage="0" bottom="0" percent="0" rank="0" text="" dxfId="2">
      <formula>AND(ISNUMBER(D6),D6-D$4=1)</formula>
    </cfRule>
    <cfRule type="expression" priority="5" aboveAverage="0" equalAverage="0" bottom="0" percent="0" rank="0" text="" dxfId="3">
      <formula>AND(ISNUMBER(D6),D6-D$4&gt;=2)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21" min="4" style="0" width="4.2"/>
    <col collapsed="false" customWidth="true" hidden="false" outlineLevel="0" max="22" min="22" style="0" width="7"/>
    <col collapsed="false" customWidth="true" hidden="false" outlineLevel="0" max="23" min="23" style="0" width="8"/>
    <col collapsed="false" customWidth="true" hidden="false" outlineLevel="0" max="26" min="24" style="0" width="7"/>
    <col collapsed="false" customWidth="true" hidden="false" outlineLevel="0" max="28" min="27" style="0" width="6"/>
    <col collapsed="false" customWidth="true" hidden="false" outlineLevel="0" max="29" min="29" style="0" width="8"/>
    <col collapsed="false" customWidth="true" hidden="false" outlineLevel="0" max="30" min="30" style="0" width="7"/>
    <col collapsed="false" customWidth="true" hidden="false" outlineLevel="0" max="31" min="31" style="0" width="8"/>
    <col collapsed="false" customWidth="true" hidden="false" outlineLevel="0" max="36" min="32" style="0" width="6"/>
  </cols>
  <sheetData>
    <row r="1" customFormat="false" ht="17.35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4" customFormat="false" ht="15" hidden="false" customHeight="false" outlineLevel="0" collapsed="false">
      <c r="B4" s="33" t="s">
        <v>119</v>
      </c>
      <c r="D4" s="34" t="n">
        <v>5</v>
      </c>
      <c r="E4" s="34" t="n">
        <v>3</v>
      </c>
      <c r="F4" s="34" t="n">
        <v>4</v>
      </c>
      <c r="G4" s="34" t="n">
        <v>5</v>
      </c>
      <c r="H4" s="34" t="n">
        <v>4</v>
      </c>
      <c r="I4" s="34" t="n">
        <v>4</v>
      </c>
      <c r="J4" s="34" t="n">
        <v>3</v>
      </c>
      <c r="K4" s="34" t="n">
        <v>4</v>
      </c>
      <c r="L4" s="34" t="n">
        <v>4</v>
      </c>
      <c r="M4" s="34" t="n">
        <v>4</v>
      </c>
      <c r="N4" s="34" t="n">
        <v>5</v>
      </c>
      <c r="O4" s="34" t="n">
        <v>4</v>
      </c>
      <c r="P4" s="34" t="n">
        <v>4</v>
      </c>
      <c r="Q4" s="34" t="n">
        <v>3</v>
      </c>
      <c r="R4" s="34" t="n">
        <v>4</v>
      </c>
      <c r="S4" s="34" t="n">
        <v>4</v>
      </c>
      <c r="T4" s="34" t="n">
        <v>3</v>
      </c>
      <c r="U4" s="34" t="n">
        <v>5</v>
      </c>
      <c r="V4" s="35" t="n">
        <f aca="false">SUM(D4:U4)</f>
        <v>72</v>
      </c>
    </row>
    <row r="5" customFormat="false" ht="15" hidden="false" customHeight="false" outlineLevel="0" collapsed="false">
      <c r="A5" s="8" t="s">
        <v>35</v>
      </c>
      <c r="B5" s="8" t="s">
        <v>9</v>
      </c>
      <c r="C5" s="8" t="s">
        <v>36</v>
      </c>
      <c r="D5" s="8" t="s">
        <v>120</v>
      </c>
      <c r="E5" s="8" t="s">
        <v>121</v>
      </c>
      <c r="F5" s="8" t="s">
        <v>122</v>
      </c>
      <c r="G5" s="8" t="s">
        <v>123</v>
      </c>
      <c r="H5" s="8" t="s">
        <v>124</v>
      </c>
      <c r="I5" s="8" t="s">
        <v>125</v>
      </c>
      <c r="J5" s="8" t="s">
        <v>126</v>
      </c>
      <c r="K5" s="8" t="s">
        <v>127</v>
      </c>
      <c r="L5" s="8" t="s">
        <v>128</v>
      </c>
      <c r="M5" s="8" t="s">
        <v>129</v>
      </c>
      <c r="N5" s="8" t="s">
        <v>130</v>
      </c>
      <c r="O5" s="8" t="s">
        <v>131</v>
      </c>
      <c r="P5" s="8" t="s">
        <v>132</v>
      </c>
      <c r="Q5" s="8" t="s">
        <v>133</v>
      </c>
      <c r="R5" s="8" t="s">
        <v>134</v>
      </c>
      <c r="S5" s="8" t="s">
        <v>135</v>
      </c>
      <c r="T5" s="8" t="s">
        <v>136</v>
      </c>
      <c r="U5" s="8" t="s">
        <v>137</v>
      </c>
      <c r="V5" s="8" t="s">
        <v>138</v>
      </c>
      <c r="W5" s="8" t="s">
        <v>139</v>
      </c>
      <c r="X5" s="8" t="s">
        <v>140</v>
      </c>
      <c r="Y5" s="8" t="s">
        <v>141</v>
      </c>
      <c r="Z5" s="8" t="s">
        <v>142</v>
      </c>
      <c r="AA5" s="8" t="s">
        <v>143</v>
      </c>
      <c r="AB5" s="8" t="s">
        <v>144</v>
      </c>
      <c r="AC5" s="8" t="s">
        <v>10</v>
      </c>
      <c r="AD5" s="8" t="s">
        <v>145</v>
      </c>
      <c r="AE5" s="8" t="s">
        <v>146</v>
      </c>
      <c r="AF5" s="8" t="s">
        <v>147</v>
      </c>
      <c r="AG5" s="8" t="s">
        <v>148</v>
      </c>
      <c r="AH5" s="8" t="s">
        <v>149</v>
      </c>
      <c r="AI5" s="8" t="s">
        <v>150</v>
      </c>
      <c r="AJ5" s="8" t="s">
        <v>151</v>
      </c>
    </row>
    <row r="6" customFormat="false" ht="15" hidden="false" customHeight="false" outlineLevel="0" collapsed="false">
      <c r="A6" s="36" t="s">
        <v>53</v>
      </c>
      <c r="B6" s="37" t="s">
        <v>54</v>
      </c>
      <c r="C6" s="38" t="s">
        <v>52</v>
      </c>
      <c r="D6" s="38" t="n">
        <v>7</v>
      </c>
      <c r="E6" s="38" t="n">
        <v>3</v>
      </c>
      <c r="F6" s="38" t="n">
        <v>6</v>
      </c>
      <c r="G6" s="38" t="n">
        <v>6</v>
      </c>
      <c r="H6" s="38" t="n">
        <v>5</v>
      </c>
      <c r="I6" s="38" t="n">
        <v>7</v>
      </c>
      <c r="J6" s="38" t="n">
        <v>4</v>
      </c>
      <c r="K6" s="38" t="n">
        <v>5</v>
      </c>
      <c r="L6" s="38" t="n">
        <v>6</v>
      </c>
      <c r="M6" s="38" t="n">
        <v>5</v>
      </c>
      <c r="N6" s="38" t="n">
        <v>6</v>
      </c>
      <c r="O6" s="38" t="n">
        <v>4</v>
      </c>
      <c r="P6" s="38" t="n">
        <v>5</v>
      </c>
      <c r="Q6" s="38" t="n">
        <v>4</v>
      </c>
      <c r="R6" s="38" t="n">
        <v>5</v>
      </c>
      <c r="S6" s="38" t="n">
        <v>5</v>
      </c>
      <c r="T6" s="38" t="n">
        <v>4</v>
      </c>
      <c r="U6" s="38" t="n">
        <v>5</v>
      </c>
      <c r="V6" s="39" t="n">
        <f aca="false">IF(COUNT(D6:U6)=18,SUM(D6:U6),IF(W6="","",W6))</f>
        <v>92</v>
      </c>
      <c r="W6" s="20"/>
      <c r="X6" s="38" t="n">
        <v>12</v>
      </c>
      <c r="Y6" s="15" t="n">
        <f aca="false">IF(X6="","",MIN(X6,Supuestos!$F$5))</f>
        <v>12</v>
      </c>
      <c r="Z6" s="39" t="n">
        <f aca="false">IF(OR(V6="",Y6=""),"",V6-Y6)</f>
        <v>80</v>
      </c>
      <c r="AA6" s="15" t="n">
        <f aca="false">IF(Z6="","",COUNTIF($Z$6:$Z$21,"&lt;"&amp;Z6)+1)</f>
        <v>9</v>
      </c>
      <c r="AB6" s="15" t="n">
        <f aca="false">IF(Z6="","",COUNTIF($Z$6:$Z$21,Z6))</f>
        <v>1</v>
      </c>
      <c r="AC6" s="40" t="n">
        <f aca="false">IF(Z6="","",ROUND(SUMPRODUCT((Supuestos!$A$5:$A$28&gt;=AA6)*(Supuestos!$A$5:$A$28&lt;AA6+AB6)*Supuestos!$B$5:$B$28)/AB6*Supuestos!$F$6,0))</f>
        <v>75</v>
      </c>
      <c r="AD6" s="15" t="n">
        <f aca="false">IF(0=1,0,IFERROR(INDEX(Jugadores!$E$5:$E$21,MATCH(A6,Jugadores!$A$5:$A$21,0)),0))</f>
        <v>1</v>
      </c>
      <c r="AE6" s="31" t="n">
        <f aca="false">IF(OR(AC6="",AD6=0),0,AC6)</f>
        <v>75</v>
      </c>
      <c r="AF6" s="15" t="n">
        <f aca="false">IF(COUNT(D6:U6)&lt;18,"",SUMPRODUCT(--((D6:U6)-$D$4:$U$4&lt;=-2)))</f>
        <v>0</v>
      </c>
      <c r="AG6" s="15" t="n">
        <f aca="false">IF(COUNT(D6:U6)&lt;18,"",SUMPRODUCT(--((D6:U6)-$D$4:$U$4=-1)))</f>
        <v>0</v>
      </c>
      <c r="AH6" s="15" t="n">
        <f aca="false">IF(COUNT(D6:U6)&lt;18,"",SUMPRODUCT(--((D6:U6)-$D$4:$U$4=0)))</f>
        <v>3</v>
      </c>
      <c r="AI6" s="15" t="n">
        <f aca="false">IF(COUNT(D6:U6)&lt;18,"",SUMPRODUCT(--((D6:U6)-$D$4:$U$4=1)))</f>
        <v>11</v>
      </c>
      <c r="AJ6" s="15" t="n">
        <f aca="false">IF(COUNT(D6:U6)&lt;18,"",SUMPRODUCT(--((D6:U6)-$D$4:$U$4&gt;=2)))</f>
        <v>4</v>
      </c>
    </row>
    <row r="7" customFormat="false" ht="15" hidden="false" customHeight="false" outlineLevel="0" collapsed="false">
      <c r="A7" s="36" t="s">
        <v>55</v>
      </c>
      <c r="B7" s="37" t="s">
        <v>56</v>
      </c>
      <c r="C7" s="38" t="s">
        <v>52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39" t="str">
        <f aca="false">IF(COUNT(D7:U7)=18,SUM(D7:U7),IF(W7="","",W7))</f>
        <v/>
      </c>
      <c r="W7" s="20"/>
      <c r="X7" s="20"/>
      <c r="Y7" s="15" t="str">
        <f aca="false">IF(X7="","",MIN(X7,Supuestos!$F$5))</f>
        <v/>
      </c>
      <c r="Z7" s="39" t="str">
        <f aca="false">IF(OR(V7="",Y7=""),"",V7-Y7)</f>
        <v/>
      </c>
      <c r="AA7" s="15" t="str">
        <f aca="false">IF(Z7="","",COUNTIF($Z$6:$Z$21,"&lt;"&amp;Z7)+1)</f>
        <v/>
      </c>
      <c r="AB7" s="15" t="str">
        <f aca="false">IF(Z7="","",COUNTIF($Z$6:$Z$21,Z7))</f>
        <v/>
      </c>
      <c r="AC7" s="40" t="str">
        <f aca="false">IF(Z7="","",ROUND(SUMPRODUCT((Supuestos!$A$5:$A$28&gt;=AA7)*(Supuestos!$A$5:$A$28&lt;AA7+AB7)*Supuestos!$B$5:$B$28)/AB7*Supuestos!$F$6,0))</f>
        <v/>
      </c>
      <c r="AD7" s="15" t="n">
        <f aca="false">IF(0=1,0,IFERROR(INDEX(Jugadores!$E$5:$E$21,MATCH(A7,Jugadores!$A$5:$A$21,0)),0))</f>
        <v>1</v>
      </c>
      <c r="AE7" s="31" t="n">
        <f aca="false">IF(OR(AC7="",AD7=0),0,AC7)</f>
        <v>0</v>
      </c>
      <c r="AF7" s="15" t="str">
        <f aca="false">IF(COUNT(D7:U7)&lt;18,"",SUMPRODUCT(--((D7:U7)-$D$4:$U$4&lt;=-2)))</f>
        <v/>
      </c>
      <c r="AG7" s="15" t="str">
        <f aca="false">IF(COUNT(D7:U7)&lt;18,"",SUMPRODUCT(--((D7:U7)-$D$4:$U$4=-1)))</f>
        <v/>
      </c>
      <c r="AH7" s="15" t="str">
        <f aca="false">IF(COUNT(D7:U7)&lt;18,"",SUMPRODUCT(--((D7:U7)-$D$4:$U$4=0)))</f>
        <v/>
      </c>
      <c r="AI7" s="15" t="str">
        <f aca="false">IF(COUNT(D7:U7)&lt;18,"",SUMPRODUCT(--((D7:U7)-$D$4:$U$4=1)))</f>
        <v/>
      </c>
      <c r="AJ7" s="15" t="str">
        <f aca="false">IF(COUNT(D7:U7)&lt;18,"",SUMPRODUCT(--((D7:U7)-$D$4:$U$4&gt;=2)))</f>
        <v/>
      </c>
    </row>
    <row r="8" customFormat="false" ht="15" hidden="false" customHeight="false" outlineLevel="0" collapsed="false">
      <c r="A8" s="36" t="s">
        <v>57</v>
      </c>
      <c r="B8" s="37" t="s">
        <v>58</v>
      </c>
      <c r="C8" s="38" t="s">
        <v>52</v>
      </c>
      <c r="D8" s="38" t="n">
        <v>6</v>
      </c>
      <c r="E8" s="38" t="n">
        <v>5</v>
      </c>
      <c r="F8" s="38" t="n">
        <v>6</v>
      </c>
      <c r="G8" s="38" t="n">
        <v>5</v>
      </c>
      <c r="H8" s="38" t="n">
        <v>5</v>
      </c>
      <c r="I8" s="38" t="n">
        <v>6</v>
      </c>
      <c r="J8" s="38" t="n">
        <v>5</v>
      </c>
      <c r="K8" s="38" t="n">
        <v>6</v>
      </c>
      <c r="L8" s="38" t="n">
        <v>5</v>
      </c>
      <c r="M8" s="38" t="n">
        <v>6</v>
      </c>
      <c r="N8" s="38" t="n">
        <v>6</v>
      </c>
      <c r="O8" s="38" t="n">
        <v>6</v>
      </c>
      <c r="P8" s="38" t="n">
        <v>5</v>
      </c>
      <c r="Q8" s="38" t="n">
        <v>3</v>
      </c>
      <c r="R8" s="38" t="n">
        <v>5</v>
      </c>
      <c r="S8" s="38" t="n">
        <v>4</v>
      </c>
      <c r="T8" s="38" t="n">
        <v>3</v>
      </c>
      <c r="U8" s="38" t="n">
        <v>7</v>
      </c>
      <c r="V8" s="39" t="n">
        <f aca="false">IF(COUNT(D8:U8)=18,SUM(D8:U8),IF(W8="","",W8))</f>
        <v>94</v>
      </c>
      <c r="W8" s="20"/>
      <c r="X8" s="38" t="n">
        <v>17</v>
      </c>
      <c r="Y8" s="15" t="n">
        <f aca="false">IF(X8="","",MIN(X8,Supuestos!$F$5))</f>
        <v>17</v>
      </c>
      <c r="Z8" s="39" t="n">
        <f aca="false">IF(OR(V8="",Y8=""),"",V8-Y8)</f>
        <v>77</v>
      </c>
      <c r="AA8" s="15" t="n">
        <f aca="false">IF(Z8="","",COUNTIF($Z$6:$Z$21,"&lt;"&amp;Z8)+1)</f>
        <v>4</v>
      </c>
      <c r="AB8" s="15" t="n">
        <f aca="false">IF(Z8="","",COUNTIF($Z$6:$Z$21,Z8))</f>
        <v>1</v>
      </c>
      <c r="AC8" s="40" t="n">
        <f aca="false">IF(Z8="","",ROUND(SUMPRODUCT((Supuestos!$A$5:$A$28&gt;=AA8)*(Supuestos!$A$5:$A$28&lt;AA8+AB8)*Supuestos!$B$5:$B$28)/AB8*Supuestos!$F$6,0))</f>
        <v>150</v>
      </c>
      <c r="AD8" s="15" t="n">
        <f aca="false">IF(0=1,0,IFERROR(INDEX(Jugadores!$E$5:$E$21,MATCH(A8,Jugadores!$A$5:$A$21,0)),0))</f>
        <v>1</v>
      </c>
      <c r="AE8" s="31" t="n">
        <f aca="false">IF(OR(AC8="",AD8=0),0,AC8)</f>
        <v>150</v>
      </c>
      <c r="AF8" s="15" t="n">
        <f aca="false">IF(COUNT(D8:U8)&lt;18,"",SUMPRODUCT(--((D8:U8)-$D$4:$U$4&lt;=-2)))</f>
        <v>0</v>
      </c>
      <c r="AG8" s="15" t="n">
        <f aca="false">IF(COUNT(D8:U8)&lt;18,"",SUMPRODUCT(--((D8:U8)-$D$4:$U$4=-1)))</f>
        <v>0</v>
      </c>
      <c r="AH8" s="15" t="n">
        <f aca="false">IF(COUNT(D8:U8)&lt;18,"",SUMPRODUCT(--((D8:U8)-$D$4:$U$4=0)))</f>
        <v>4</v>
      </c>
      <c r="AI8" s="15" t="n">
        <f aca="false">IF(COUNT(D8:U8)&lt;18,"",SUMPRODUCT(--((D8:U8)-$D$4:$U$4=1)))</f>
        <v>6</v>
      </c>
      <c r="AJ8" s="15" t="n">
        <f aca="false">IF(COUNT(D8:U8)&lt;18,"",SUMPRODUCT(--((D8:U8)-$D$4:$U$4&gt;=2)))</f>
        <v>8</v>
      </c>
    </row>
    <row r="9" customFormat="false" ht="15" hidden="false" customHeight="false" outlineLevel="0" collapsed="false">
      <c r="A9" s="36" t="s">
        <v>59</v>
      </c>
      <c r="B9" s="37" t="s">
        <v>60</v>
      </c>
      <c r="C9" s="38" t="s">
        <v>52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39" t="str">
        <f aca="false">IF(COUNT(D9:U9)=18,SUM(D9:U9),IF(W9="","",W9))</f>
        <v/>
      </c>
      <c r="W9" s="20"/>
      <c r="X9" s="20"/>
      <c r="Y9" s="15" t="str">
        <f aca="false">IF(X9="","",MIN(X9,Supuestos!$F$5))</f>
        <v/>
      </c>
      <c r="Z9" s="39" t="str">
        <f aca="false">IF(OR(V9="",Y9=""),"",V9-Y9)</f>
        <v/>
      </c>
      <c r="AA9" s="15" t="str">
        <f aca="false">IF(Z9="","",COUNTIF($Z$6:$Z$21,"&lt;"&amp;Z9)+1)</f>
        <v/>
      </c>
      <c r="AB9" s="15" t="str">
        <f aca="false">IF(Z9="","",COUNTIF($Z$6:$Z$21,Z9))</f>
        <v/>
      </c>
      <c r="AC9" s="40" t="str">
        <f aca="false">IF(Z9="","",ROUND(SUMPRODUCT((Supuestos!$A$5:$A$28&gt;=AA9)*(Supuestos!$A$5:$A$28&lt;AA9+AB9)*Supuestos!$B$5:$B$28)/AB9*Supuestos!$F$6,0))</f>
        <v/>
      </c>
      <c r="AD9" s="15" t="n">
        <f aca="false">IF(0=1,0,IFERROR(INDEX(Jugadores!$E$5:$E$21,MATCH(A9,Jugadores!$A$5:$A$21,0)),0))</f>
        <v>1</v>
      </c>
      <c r="AE9" s="31" t="n">
        <f aca="false">IF(OR(AC9="",AD9=0),0,AC9)</f>
        <v>0</v>
      </c>
      <c r="AF9" s="15" t="str">
        <f aca="false">IF(COUNT(D9:U9)&lt;18,"",SUMPRODUCT(--((D9:U9)-$D$4:$U$4&lt;=-2)))</f>
        <v/>
      </c>
      <c r="AG9" s="15" t="str">
        <f aca="false">IF(COUNT(D9:U9)&lt;18,"",SUMPRODUCT(--((D9:U9)-$D$4:$U$4=-1)))</f>
        <v/>
      </c>
      <c r="AH9" s="15" t="str">
        <f aca="false">IF(COUNT(D9:U9)&lt;18,"",SUMPRODUCT(--((D9:U9)-$D$4:$U$4=0)))</f>
        <v/>
      </c>
      <c r="AI9" s="15" t="str">
        <f aca="false">IF(COUNT(D9:U9)&lt;18,"",SUMPRODUCT(--((D9:U9)-$D$4:$U$4=1)))</f>
        <v/>
      </c>
      <c r="AJ9" s="15" t="str">
        <f aca="false">IF(COUNT(D9:U9)&lt;18,"",SUMPRODUCT(--((D9:U9)-$D$4:$U$4&gt;=2)))</f>
        <v/>
      </c>
    </row>
    <row r="10" customFormat="false" ht="15" hidden="false" customHeight="false" outlineLevel="0" collapsed="false">
      <c r="A10" s="36" t="s">
        <v>61</v>
      </c>
      <c r="B10" s="37" t="s">
        <v>62</v>
      </c>
      <c r="C10" s="38" t="s">
        <v>52</v>
      </c>
      <c r="D10" s="38" t="n">
        <v>6</v>
      </c>
      <c r="E10" s="38" t="n">
        <v>6</v>
      </c>
      <c r="F10" s="38" t="n">
        <v>8</v>
      </c>
      <c r="G10" s="38" t="n">
        <v>6</v>
      </c>
      <c r="H10" s="38" t="n">
        <v>5</v>
      </c>
      <c r="I10" s="38" t="n">
        <v>6</v>
      </c>
      <c r="J10" s="38" t="n">
        <v>3</v>
      </c>
      <c r="K10" s="38" t="n">
        <v>7</v>
      </c>
      <c r="L10" s="38" t="n">
        <v>4</v>
      </c>
      <c r="M10" s="38" t="n">
        <v>5</v>
      </c>
      <c r="N10" s="38" t="n">
        <v>5</v>
      </c>
      <c r="O10" s="38" t="n">
        <v>5</v>
      </c>
      <c r="P10" s="38" t="n">
        <v>6</v>
      </c>
      <c r="Q10" s="38" t="n">
        <v>4</v>
      </c>
      <c r="R10" s="38" t="n">
        <v>5</v>
      </c>
      <c r="S10" s="38" t="n">
        <v>6</v>
      </c>
      <c r="T10" s="38" t="n">
        <v>5</v>
      </c>
      <c r="U10" s="38" t="n">
        <v>6</v>
      </c>
      <c r="V10" s="39" t="n">
        <f aca="false">IF(COUNT(D10:U10)=18,SUM(D10:U10),IF(W10="","",W10))</f>
        <v>98</v>
      </c>
      <c r="W10" s="20"/>
      <c r="X10" s="38" t="n">
        <v>25</v>
      </c>
      <c r="Y10" s="15" t="n">
        <f aca="false">IF(X10="","",MIN(X10,Supuestos!$F$5))</f>
        <v>25</v>
      </c>
      <c r="Z10" s="39" t="n">
        <f aca="false">IF(OR(V10="",Y10=""),"",V10-Y10)</f>
        <v>73</v>
      </c>
      <c r="AA10" s="15" t="n">
        <f aca="false">IF(Z10="","",COUNTIF($Z$6:$Z$21,"&lt;"&amp;Z10)+1)</f>
        <v>1</v>
      </c>
      <c r="AB10" s="15" t="n">
        <f aca="false">IF(Z10="","",COUNTIF($Z$6:$Z$21,Z10))</f>
        <v>1</v>
      </c>
      <c r="AC10" s="40" t="n">
        <f aca="false">IF(Z10="","",ROUND(SUMPRODUCT((Supuestos!$A$5:$A$28&gt;=AA10)*(Supuestos!$A$5:$A$28&lt;AA10+AB10)*Supuestos!$B$5:$B$28)/AB10*Supuestos!$F$6,0))</f>
        <v>500</v>
      </c>
      <c r="AD10" s="15" t="n">
        <f aca="false">IF(0=1,0,IFERROR(INDEX(Jugadores!$E$5:$E$21,MATCH(A10,Jugadores!$A$5:$A$21,0)),0))</f>
        <v>1</v>
      </c>
      <c r="AE10" s="31" t="n">
        <f aca="false">IF(OR(AC10="",AD10=0),0,AC10)</f>
        <v>500</v>
      </c>
      <c r="AF10" s="15" t="n">
        <f aca="false">IF(COUNT(D10:U10)&lt;18,"",SUMPRODUCT(--((D10:U10)-$D$4:$U$4&lt;=-2)))</f>
        <v>0</v>
      </c>
      <c r="AG10" s="15" t="n">
        <f aca="false">IF(COUNT(D10:U10)&lt;18,"",SUMPRODUCT(--((D10:U10)-$D$4:$U$4=-1)))</f>
        <v>0</v>
      </c>
      <c r="AH10" s="15" t="n">
        <f aca="false">IF(COUNT(D10:U10)&lt;18,"",SUMPRODUCT(--((D10:U10)-$D$4:$U$4=0)))</f>
        <v>3</v>
      </c>
      <c r="AI10" s="15" t="n">
        <f aca="false">IF(COUNT(D10:U10)&lt;18,"",SUMPRODUCT(--((D10:U10)-$D$4:$U$4=1)))</f>
        <v>8</v>
      </c>
      <c r="AJ10" s="15" t="n">
        <f aca="false">IF(COUNT(D10:U10)&lt;18,"",SUMPRODUCT(--((D10:U10)-$D$4:$U$4&gt;=2)))</f>
        <v>7</v>
      </c>
    </row>
    <row r="11" customFormat="false" ht="15" hidden="false" customHeight="false" outlineLevel="0" collapsed="false">
      <c r="A11" s="36" t="s">
        <v>63</v>
      </c>
      <c r="B11" s="37" t="s">
        <v>64</v>
      </c>
      <c r="C11" s="38" t="s">
        <v>52</v>
      </c>
      <c r="D11" s="38" t="n">
        <v>6</v>
      </c>
      <c r="E11" s="38" t="n">
        <v>2</v>
      </c>
      <c r="F11" s="38" t="n">
        <v>4</v>
      </c>
      <c r="G11" s="38" t="n">
        <v>5</v>
      </c>
      <c r="H11" s="38" t="n">
        <v>4</v>
      </c>
      <c r="I11" s="38" t="n">
        <v>6</v>
      </c>
      <c r="J11" s="38" t="n">
        <v>4</v>
      </c>
      <c r="K11" s="38" t="n">
        <v>5</v>
      </c>
      <c r="L11" s="38" t="n">
        <v>7</v>
      </c>
      <c r="M11" s="38" t="n">
        <v>4</v>
      </c>
      <c r="N11" s="38" t="n">
        <v>8</v>
      </c>
      <c r="O11" s="38" t="n">
        <v>6</v>
      </c>
      <c r="P11" s="38" t="n">
        <v>5</v>
      </c>
      <c r="Q11" s="38" t="n">
        <v>4</v>
      </c>
      <c r="R11" s="38" t="n">
        <v>5</v>
      </c>
      <c r="S11" s="38" t="n">
        <v>6</v>
      </c>
      <c r="T11" s="38" t="n">
        <v>6</v>
      </c>
      <c r="U11" s="38" t="n">
        <v>7</v>
      </c>
      <c r="V11" s="39" t="n">
        <f aca="false">IF(COUNT(D11:U11)=18,SUM(D11:U11),IF(W11="","",W11))</f>
        <v>94</v>
      </c>
      <c r="W11" s="20"/>
      <c r="X11" s="38" t="n">
        <v>20</v>
      </c>
      <c r="Y11" s="15" t="n">
        <f aca="false">IF(X11="","",MIN(X11,Supuestos!$F$5))</f>
        <v>20</v>
      </c>
      <c r="Z11" s="39" t="n">
        <f aca="false">IF(OR(V11="",Y11=""),"",V11-Y11)</f>
        <v>74</v>
      </c>
      <c r="AA11" s="15" t="n">
        <f aca="false">IF(Z11="","",COUNTIF($Z$6:$Z$21,"&lt;"&amp;Z11)+1)</f>
        <v>2</v>
      </c>
      <c r="AB11" s="15" t="n">
        <f aca="false">IF(Z11="","",COUNTIF($Z$6:$Z$21,Z11))</f>
        <v>2</v>
      </c>
      <c r="AC11" s="40" t="n">
        <f aca="false">IF(Z11="","",ROUND(SUMPRODUCT((Supuestos!$A$5:$A$28&gt;=AA11)*(Supuestos!$A$5:$A$28&lt;AA11+AB11)*Supuestos!$B$5:$B$28)/AB11*Supuestos!$F$6,0))</f>
        <v>250</v>
      </c>
      <c r="AD11" s="15" t="n">
        <f aca="false">IF(0=1,0,IFERROR(INDEX(Jugadores!$E$5:$E$21,MATCH(A11,Jugadores!$A$5:$A$21,0)),0))</f>
        <v>1</v>
      </c>
      <c r="AE11" s="31" t="n">
        <f aca="false">IF(OR(AC11="",AD11=0),0,AC11)</f>
        <v>250</v>
      </c>
      <c r="AF11" s="15" t="n">
        <f aca="false">IF(COUNT(D11:U11)&lt;18,"",SUMPRODUCT(--((D11:U11)-$D$4:$U$4&lt;=-2)))</f>
        <v>0</v>
      </c>
      <c r="AG11" s="15" t="n">
        <f aca="false">IF(COUNT(D11:U11)&lt;18,"",SUMPRODUCT(--((D11:U11)-$D$4:$U$4=-1)))</f>
        <v>1</v>
      </c>
      <c r="AH11" s="15" t="n">
        <f aca="false">IF(COUNT(D11:U11)&lt;18,"",SUMPRODUCT(--((D11:U11)-$D$4:$U$4=0)))</f>
        <v>4</v>
      </c>
      <c r="AI11" s="15" t="n">
        <f aca="false">IF(COUNT(D11:U11)&lt;18,"",SUMPRODUCT(--((D11:U11)-$D$4:$U$4=1)))</f>
        <v>6</v>
      </c>
      <c r="AJ11" s="15" t="n">
        <f aca="false">IF(COUNT(D11:U11)&lt;18,"",SUMPRODUCT(--((D11:U11)-$D$4:$U$4&gt;=2)))</f>
        <v>7</v>
      </c>
    </row>
    <row r="12" customFormat="false" ht="15" hidden="false" customHeight="false" outlineLevel="0" collapsed="false">
      <c r="A12" s="36" t="s">
        <v>65</v>
      </c>
      <c r="B12" s="37" t="s">
        <v>66</v>
      </c>
      <c r="C12" s="38" t="s">
        <v>52</v>
      </c>
      <c r="D12" s="38" t="n">
        <v>7</v>
      </c>
      <c r="E12" s="38" t="n">
        <v>5</v>
      </c>
      <c r="F12" s="38" t="n">
        <v>8</v>
      </c>
      <c r="G12" s="38" t="n">
        <v>6</v>
      </c>
      <c r="H12" s="38" t="n">
        <v>6</v>
      </c>
      <c r="I12" s="38" t="n">
        <v>4</v>
      </c>
      <c r="J12" s="38" t="n">
        <v>5</v>
      </c>
      <c r="K12" s="38" t="n">
        <v>5</v>
      </c>
      <c r="L12" s="38" t="n">
        <v>5</v>
      </c>
      <c r="M12" s="38" t="n">
        <v>7</v>
      </c>
      <c r="N12" s="38" t="n">
        <v>6</v>
      </c>
      <c r="O12" s="38" t="n">
        <v>6</v>
      </c>
      <c r="P12" s="38" t="n">
        <v>6</v>
      </c>
      <c r="Q12" s="38" t="n">
        <v>6</v>
      </c>
      <c r="R12" s="38" t="n">
        <v>6</v>
      </c>
      <c r="S12" s="38" t="n">
        <v>5</v>
      </c>
      <c r="T12" s="38" t="n">
        <v>4</v>
      </c>
      <c r="U12" s="38" t="n">
        <v>7</v>
      </c>
      <c r="V12" s="39" t="n">
        <f aca="false">IF(COUNT(D12:U12)=18,SUM(D12:U12),IF(W12="","",W12))</f>
        <v>104</v>
      </c>
      <c r="W12" s="20"/>
      <c r="X12" s="38" t="n">
        <v>26</v>
      </c>
      <c r="Y12" s="15" t="n">
        <f aca="false">IF(X12="","",MIN(X12,Supuestos!$F$5))</f>
        <v>26</v>
      </c>
      <c r="Z12" s="39" t="n">
        <f aca="false">IF(OR(V12="",Y12=""),"",V12-Y12)</f>
        <v>78</v>
      </c>
      <c r="AA12" s="15" t="n">
        <f aca="false">IF(Z12="","",COUNTIF($Z$6:$Z$21,"&lt;"&amp;Z12)+1)</f>
        <v>5</v>
      </c>
      <c r="AB12" s="15" t="n">
        <f aca="false">IF(Z12="","",COUNTIF($Z$6:$Z$21,Z12))</f>
        <v>4</v>
      </c>
      <c r="AC12" s="40" t="n">
        <f aca="false">IF(Z12="","",ROUND(SUMPRODUCT((Supuestos!$A$5:$A$28&gt;=AA12)*(Supuestos!$A$5:$A$28&lt;AA12+AB12)*Supuestos!$B$5:$B$28)/AB12*Supuestos!$F$6,0))</f>
        <v>98</v>
      </c>
      <c r="AD12" s="15" t="n">
        <f aca="false">IF(0=1,0,IFERROR(INDEX(Jugadores!$E$5:$E$21,MATCH(A12,Jugadores!$A$5:$A$21,0)),0))</f>
        <v>1</v>
      </c>
      <c r="AE12" s="31" t="n">
        <f aca="false">IF(OR(AC12="",AD12=0),0,AC12)</f>
        <v>98</v>
      </c>
      <c r="AF12" s="15" t="n">
        <f aca="false">IF(COUNT(D12:U12)&lt;18,"",SUMPRODUCT(--((D12:U12)-$D$4:$U$4&lt;=-2)))</f>
        <v>0</v>
      </c>
      <c r="AG12" s="15" t="n">
        <f aca="false">IF(COUNT(D12:U12)&lt;18,"",SUMPRODUCT(--((D12:U12)-$D$4:$U$4=-1)))</f>
        <v>0</v>
      </c>
      <c r="AH12" s="15" t="n">
        <f aca="false">IF(COUNT(D12:U12)&lt;18,"",SUMPRODUCT(--((D12:U12)-$D$4:$U$4=0)))</f>
        <v>1</v>
      </c>
      <c r="AI12" s="15" t="n">
        <f aca="false">IF(COUNT(D12:U12)&lt;18,"",SUMPRODUCT(--((D12:U12)-$D$4:$U$4=1)))</f>
        <v>6</v>
      </c>
      <c r="AJ12" s="15" t="n">
        <f aca="false">IF(COUNT(D12:U12)&lt;18,"",SUMPRODUCT(--((D12:U12)-$D$4:$U$4&gt;=2)))</f>
        <v>11</v>
      </c>
    </row>
    <row r="13" customFormat="false" ht="15" hidden="false" customHeight="false" outlineLevel="0" collapsed="false">
      <c r="A13" s="36" t="s">
        <v>67</v>
      </c>
      <c r="B13" s="37" t="s">
        <v>68</v>
      </c>
      <c r="C13" s="38" t="s">
        <v>69</v>
      </c>
      <c r="D13" s="38" t="n">
        <v>6</v>
      </c>
      <c r="E13" s="38" t="n">
        <v>4</v>
      </c>
      <c r="F13" s="38" t="n">
        <v>4</v>
      </c>
      <c r="G13" s="38" t="n">
        <v>6</v>
      </c>
      <c r="H13" s="38" t="n">
        <v>4</v>
      </c>
      <c r="I13" s="38" t="n">
        <v>7</v>
      </c>
      <c r="J13" s="38" t="n">
        <v>5</v>
      </c>
      <c r="K13" s="38" t="n">
        <v>5</v>
      </c>
      <c r="L13" s="38" t="n">
        <v>5</v>
      </c>
      <c r="M13" s="38" t="n">
        <v>5</v>
      </c>
      <c r="N13" s="38" t="n">
        <v>11</v>
      </c>
      <c r="O13" s="38" t="n">
        <v>5</v>
      </c>
      <c r="P13" s="38" t="n">
        <v>4</v>
      </c>
      <c r="Q13" s="38" t="n">
        <v>6</v>
      </c>
      <c r="R13" s="38" t="n">
        <v>4</v>
      </c>
      <c r="S13" s="38" t="n">
        <v>6</v>
      </c>
      <c r="T13" s="38" t="n">
        <v>4</v>
      </c>
      <c r="U13" s="38" t="n">
        <v>6</v>
      </c>
      <c r="V13" s="39" t="n">
        <f aca="false">IF(COUNT(D13:U13)=18,SUM(D13:U13),IF(W13="","",W13))</f>
        <v>97</v>
      </c>
      <c r="W13" s="20"/>
      <c r="X13" s="38" t="n">
        <v>10</v>
      </c>
      <c r="Y13" s="15" t="n">
        <f aca="false">IF(X13="","",MIN(X13,Supuestos!$F$5))</f>
        <v>10</v>
      </c>
      <c r="Z13" s="39" t="n">
        <f aca="false">IF(OR(V13="",Y13=""),"",V13-Y13)</f>
        <v>87</v>
      </c>
      <c r="AA13" s="15" t="n">
        <f aca="false">IF(Z13="","",COUNTIF($Z$6:$Z$21,"&lt;"&amp;Z13)+1)</f>
        <v>10</v>
      </c>
      <c r="AB13" s="15" t="n">
        <f aca="false">IF(Z13="","",COUNTIF($Z$6:$Z$21,Z13))</f>
        <v>1</v>
      </c>
      <c r="AC13" s="40" t="n">
        <f aca="false">IF(Z13="","",ROUND(SUMPRODUCT((Supuestos!$A$5:$A$28&gt;=AA13)*(Supuestos!$A$5:$A$28&lt;AA13+AB13)*Supuestos!$B$5:$B$28)/AB13*Supuestos!$F$6,0))</f>
        <v>70</v>
      </c>
      <c r="AD13" s="15" t="n">
        <f aca="false">IF(0=1,0,IFERROR(INDEX(Jugadores!$E$5:$E$21,MATCH(A13,Jugadores!$A$5:$A$21,0)),0))</f>
        <v>1</v>
      </c>
      <c r="AE13" s="31" t="n">
        <f aca="false">IF(OR(AC13="",AD13=0),0,AC13)</f>
        <v>70</v>
      </c>
      <c r="AF13" s="15" t="n">
        <f aca="false">IF(COUNT(D13:U13)&lt;18,"",SUMPRODUCT(--((D13:U13)-$D$4:$U$4&lt;=-2)))</f>
        <v>0</v>
      </c>
      <c r="AG13" s="15" t="n">
        <f aca="false">IF(COUNT(D13:U13)&lt;18,"",SUMPRODUCT(--((D13:U13)-$D$4:$U$4=-1)))</f>
        <v>0</v>
      </c>
      <c r="AH13" s="15" t="n">
        <f aca="false">IF(COUNT(D13:U13)&lt;18,"",SUMPRODUCT(--((D13:U13)-$D$4:$U$4=0)))</f>
        <v>4</v>
      </c>
      <c r="AI13" s="15" t="n">
        <f aca="false">IF(COUNT(D13:U13)&lt;18,"",SUMPRODUCT(--((D13:U13)-$D$4:$U$4=1)))</f>
        <v>9</v>
      </c>
      <c r="AJ13" s="15" t="n">
        <f aca="false">IF(COUNT(D13:U13)&lt;18,"",SUMPRODUCT(--((D13:U13)-$D$4:$U$4&gt;=2)))</f>
        <v>5</v>
      </c>
    </row>
    <row r="14" customFormat="false" ht="15" hidden="false" customHeight="false" outlineLevel="0" collapsed="false">
      <c r="A14" s="36" t="s">
        <v>70</v>
      </c>
      <c r="B14" s="37" t="s">
        <v>71</v>
      </c>
      <c r="C14" s="38" t="s">
        <v>69</v>
      </c>
      <c r="D14" s="38" t="n">
        <v>5</v>
      </c>
      <c r="E14" s="38" t="n">
        <v>4</v>
      </c>
      <c r="F14" s="38" t="n">
        <v>3</v>
      </c>
      <c r="G14" s="38" t="n">
        <v>6</v>
      </c>
      <c r="H14" s="38" t="n">
        <v>4</v>
      </c>
      <c r="I14" s="38" t="n">
        <v>5</v>
      </c>
      <c r="J14" s="38" t="n">
        <v>5</v>
      </c>
      <c r="K14" s="38" t="n">
        <v>5</v>
      </c>
      <c r="L14" s="38" t="n">
        <v>5</v>
      </c>
      <c r="M14" s="38" t="n">
        <v>6</v>
      </c>
      <c r="N14" s="38" t="n">
        <v>7</v>
      </c>
      <c r="O14" s="38" t="n">
        <v>6</v>
      </c>
      <c r="P14" s="38" t="n">
        <v>5</v>
      </c>
      <c r="Q14" s="38" t="n">
        <v>4</v>
      </c>
      <c r="R14" s="38" t="n">
        <v>5</v>
      </c>
      <c r="S14" s="38" t="n">
        <v>6</v>
      </c>
      <c r="T14" s="38" t="n">
        <v>3</v>
      </c>
      <c r="U14" s="38" t="n">
        <v>8</v>
      </c>
      <c r="V14" s="39" t="n">
        <f aca="false">IF(COUNT(D14:U14)=18,SUM(D14:U14),IF(W14="","",W14))</f>
        <v>92</v>
      </c>
      <c r="W14" s="20"/>
      <c r="X14" s="38" t="n">
        <v>14</v>
      </c>
      <c r="Y14" s="15" t="n">
        <f aca="false">IF(X14="","",MIN(X14,Supuestos!$F$5))</f>
        <v>14</v>
      </c>
      <c r="Z14" s="39" t="n">
        <f aca="false">IF(OR(V14="",Y14=""),"",V14-Y14)</f>
        <v>78</v>
      </c>
      <c r="AA14" s="15" t="n">
        <f aca="false">IF(Z14="","",COUNTIF($Z$6:$Z$21,"&lt;"&amp;Z14)+1)</f>
        <v>5</v>
      </c>
      <c r="AB14" s="15" t="n">
        <f aca="false">IF(Z14="","",COUNTIF($Z$6:$Z$21,Z14))</f>
        <v>4</v>
      </c>
      <c r="AC14" s="40" t="n">
        <f aca="false">IF(Z14="","",ROUND(SUMPRODUCT((Supuestos!$A$5:$A$28&gt;=AA14)*(Supuestos!$A$5:$A$28&lt;AA14+AB14)*Supuestos!$B$5:$B$28)/AB14*Supuestos!$F$6,0))</f>
        <v>98</v>
      </c>
      <c r="AD14" s="15" t="n">
        <f aca="false">IF(0=1,0,IFERROR(INDEX(Jugadores!$E$5:$E$21,MATCH(A14,Jugadores!$A$5:$A$21,0)),0))</f>
        <v>1</v>
      </c>
      <c r="AE14" s="31" t="n">
        <f aca="false">IF(OR(AC14="",AD14=0),0,AC14)</f>
        <v>98</v>
      </c>
      <c r="AF14" s="15" t="n">
        <f aca="false">IF(COUNT(D14:U14)&lt;18,"",SUMPRODUCT(--((D14:U14)-$D$4:$U$4&lt;=-2)))</f>
        <v>0</v>
      </c>
      <c r="AG14" s="15" t="n">
        <f aca="false">IF(COUNT(D14:U14)&lt;18,"",SUMPRODUCT(--((D14:U14)-$D$4:$U$4=-1)))</f>
        <v>1</v>
      </c>
      <c r="AH14" s="15" t="n">
        <f aca="false">IF(COUNT(D14:U14)&lt;18,"",SUMPRODUCT(--((D14:U14)-$D$4:$U$4=0)))</f>
        <v>3</v>
      </c>
      <c r="AI14" s="15" t="n">
        <f aca="false">IF(COUNT(D14:U14)&lt;18,"",SUMPRODUCT(--((D14:U14)-$D$4:$U$4=1)))</f>
        <v>8</v>
      </c>
      <c r="AJ14" s="15" t="n">
        <f aca="false">IF(COUNT(D14:U14)&lt;18,"",SUMPRODUCT(--((D14:U14)-$D$4:$U$4&gt;=2)))</f>
        <v>6</v>
      </c>
    </row>
    <row r="15" customFormat="false" ht="15" hidden="false" customHeight="false" outlineLevel="0" collapsed="false">
      <c r="A15" s="36" t="s">
        <v>72</v>
      </c>
      <c r="B15" s="37" t="s">
        <v>73</v>
      </c>
      <c r="C15" s="38" t="s">
        <v>69</v>
      </c>
      <c r="D15" s="38" t="n">
        <v>6</v>
      </c>
      <c r="E15" s="38" t="n">
        <v>4</v>
      </c>
      <c r="F15" s="38" t="n">
        <v>4</v>
      </c>
      <c r="G15" s="38" t="n">
        <v>7</v>
      </c>
      <c r="H15" s="38" t="n">
        <v>4</v>
      </c>
      <c r="I15" s="38" t="n">
        <v>5</v>
      </c>
      <c r="J15" s="38" t="n">
        <v>4</v>
      </c>
      <c r="K15" s="38" t="n">
        <v>6</v>
      </c>
      <c r="L15" s="38" t="n">
        <v>5</v>
      </c>
      <c r="M15" s="38" t="n">
        <v>8</v>
      </c>
      <c r="N15" s="38" t="n">
        <v>6</v>
      </c>
      <c r="O15" s="38" t="n">
        <v>6</v>
      </c>
      <c r="P15" s="38" t="n">
        <v>7</v>
      </c>
      <c r="Q15" s="38" t="n">
        <v>3</v>
      </c>
      <c r="R15" s="38" t="n">
        <v>4</v>
      </c>
      <c r="S15" s="38" t="n">
        <v>5</v>
      </c>
      <c r="T15" s="38" t="n">
        <v>4</v>
      </c>
      <c r="U15" s="38" t="n">
        <v>6</v>
      </c>
      <c r="V15" s="39" t="n">
        <f aca="false">IF(COUNT(D15:U15)=18,SUM(D15:U15),IF(W15="","",W15))</f>
        <v>94</v>
      </c>
      <c r="W15" s="20"/>
      <c r="X15" s="38" t="n">
        <v>16</v>
      </c>
      <c r="Y15" s="15" t="n">
        <f aca="false">IF(X15="","",MIN(X15,Supuestos!$F$5))</f>
        <v>16</v>
      </c>
      <c r="Z15" s="39" t="n">
        <f aca="false">IF(OR(V15="",Y15=""),"",V15-Y15)</f>
        <v>78</v>
      </c>
      <c r="AA15" s="15" t="n">
        <f aca="false">IF(Z15="","",COUNTIF($Z$6:$Z$21,"&lt;"&amp;Z15)+1)</f>
        <v>5</v>
      </c>
      <c r="AB15" s="15" t="n">
        <f aca="false">IF(Z15="","",COUNTIF($Z$6:$Z$21,Z15))</f>
        <v>4</v>
      </c>
      <c r="AC15" s="40" t="n">
        <f aca="false">IF(Z15="","",ROUND(SUMPRODUCT((Supuestos!$A$5:$A$28&gt;=AA15)*(Supuestos!$A$5:$A$28&lt;AA15+AB15)*Supuestos!$B$5:$B$28)/AB15*Supuestos!$F$6,0))</f>
        <v>98</v>
      </c>
      <c r="AD15" s="15" t="n">
        <f aca="false">IF(0=1,0,IFERROR(INDEX(Jugadores!$E$5:$E$21,MATCH(A15,Jugadores!$A$5:$A$21,0)),0))</f>
        <v>1</v>
      </c>
      <c r="AE15" s="31" t="n">
        <f aca="false">IF(OR(AC15="",AD15=0),0,AC15)</f>
        <v>98</v>
      </c>
      <c r="AF15" s="15" t="n">
        <f aca="false">IF(COUNT(D15:U15)&lt;18,"",SUMPRODUCT(--((D15:U15)-$D$4:$U$4&lt;=-2)))</f>
        <v>0</v>
      </c>
      <c r="AG15" s="15" t="n">
        <f aca="false">IF(COUNT(D15:U15)&lt;18,"",SUMPRODUCT(--((D15:U15)-$D$4:$U$4=-1)))</f>
        <v>0</v>
      </c>
      <c r="AH15" s="15" t="n">
        <f aca="false">IF(COUNT(D15:U15)&lt;18,"",SUMPRODUCT(--((D15:U15)-$D$4:$U$4=0)))</f>
        <v>4</v>
      </c>
      <c r="AI15" s="15" t="n">
        <f aca="false">IF(COUNT(D15:U15)&lt;18,"",SUMPRODUCT(--((D15:U15)-$D$4:$U$4=1)))</f>
        <v>9</v>
      </c>
      <c r="AJ15" s="15" t="n">
        <f aca="false">IF(COUNT(D15:U15)&lt;18,"",SUMPRODUCT(--((D15:U15)-$D$4:$U$4&gt;=2)))</f>
        <v>5</v>
      </c>
    </row>
    <row r="16" customFormat="false" ht="15" hidden="false" customHeight="false" outlineLevel="0" collapsed="false">
      <c r="A16" s="36" t="s">
        <v>74</v>
      </c>
      <c r="B16" s="37" t="s">
        <v>75</v>
      </c>
      <c r="C16" s="38" t="s">
        <v>69</v>
      </c>
      <c r="D16" s="38" t="n">
        <v>7</v>
      </c>
      <c r="E16" s="38" t="n">
        <v>5</v>
      </c>
      <c r="F16" s="38" t="n">
        <v>6</v>
      </c>
      <c r="G16" s="38" t="n">
        <v>6</v>
      </c>
      <c r="H16" s="38" t="n">
        <v>5</v>
      </c>
      <c r="I16" s="38" t="n">
        <v>4</v>
      </c>
      <c r="J16" s="38" t="n">
        <v>3</v>
      </c>
      <c r="K16" s="38" t="n">
        <v>7</v>
      </c>
      <c r="L16" s="38" t="n">
        <v>4</v>
      </c>
      <c r="M16" s="38" t="n">
        <v>5</v>
      </c>
      <c r="N16" s="38" t="n">
        <v>6</v>
      </c>
      <c r="O16" s="38" t="n">
        <v>6</v>
      </c>
      <c r="P16" s="38" t="n">
        <v>6</v>
      </c>
      <c r="Q16" s="38" t="n">
        <v>3</v>
      </c>
      <c r="R16" s="38" t="n">
        <v>5</v>
      </c>
      <c r="S16" s="38" t="n">
        <v>6</v>
      </c>
      <c r="T16" s="38" t="n">
        <v>4</v>
      </c>
      <c r="U16" s="38" t="n">
        <v>6</v>
      </c>
      <c r="V16" s="39" t="n">
        <f aca="false">IF(COUNT(D16:U16)=18,SUM(D16:U16),IF(W16="","",W16))</f>
        <v>94</v>
      </c>
      <c r="W16" s="20"/>
      <c r="X16" s="38" t="n">
        <v>16</v>
      </c>
      <c r="Y16" s="15" t="n">
        <f aca="false">IF(X16="","",MIN(X16,Supuestos!$F$5))</f>
        <v>16</v>
      </c>
      <c r="Z16" s="39" t="n">
        <f aca="false">IF(OR(V16="",Y16=""),"",V16-Y16)</f>
        <v>78</v>
      </c>
      <c r="AA16" s="15" t="n">
        <f aca="false">IF(Z16="","",COUNTIF($Z$6:$Z$21,"&lt;"&amp;Z16)+1)</f>
        <v>5</v>
      </c>
      <c r="AB16" s="15" t="n">
        <f aca="false">IF(Z16="","",COUNTIF($Z$6:$Z$21,Z16))</f>
        <v>4</v>
      </c>
      <c r="AC16" s="40" t="n">
        <f aca="false">IF(Z16="","",ROUND(SUMPRODUCT((Supuestos!$A$5:$A$28&gt;=AA16)*(Supuestos!$A$5:$A$28&lt;AA16+AB16)*Supuestos!$B$5:$B$28)/AB16*Supuestos!$F$6,0))</f>
        <v>98</v>
      </c>
      <c r="AD16" s="15" t="n">
        <f aca="false">IF(0=1,0,IFERROR(INDEX(Jugadores!$E$5:$E$21,MATCH(A16,Jugadores!$A$5:$A$21,0)),0))</f>
        <v>1</v>
      </c>
      <c r="AE16" s="31" t="n">
        <f aca="false">IF(OR(AC16="",AD16=0),0,AC16)</f>
        <v>98</v>
      </c>
      <c r="AF16" s="15" t="n">
        <f aca="false">IF(COUNT(D16:U16)&lt;18,"",SUMPRODUCT(--((D16:U16)-$D$4:$U$4&lt;=-2)))</f>
        <v>0</v>
      </c>
      <c r="AG16" s="15" t="n">
        <f aca="false">IF(COUNT(D16:U16)&lt;18,"",SUMPRODUCT(--((D16:U16)-$D$4:$U$4=-1)))</f>
        <v>0</v>
      </c>
      <c r="AH16" s="15" t="n">
        <f aca="false">IF(COUNT(D16:U16)&lt;18,"",SUMPRODUCT(--((D16:U16)-$D$4:$U$4=0)))</f>
        <v>4</v>
      </c>
      <c r="AI16" s="15" t="n">
        <f aca="false">IF(COUNT(D16:U16)&lt;18,"",SUMPRODUCT(--((D16:U16)-$D$4:$U$4=1)))</f>
        <v>7</v>
      </c>
      <c r="AJ16" s="15" t="n">
        <f aca="false">IF(COUNT(D16:U16)&lt;18,"",SUMPRODUCT(--((D16:U16)-$D$4:$U$4&gt;=2)))</f>
        <v>7</v>
      </c>
    </row>
    <row r="17" customFormat="false" ht="15" hidden="false" customHeight="false" outlineLevel="0" collapsed="false">
      <c r="A17" s="36" t="s">
        <v>76</v>
      </c>
      <c r="B17" s="37" t="s">
        <v>77</v>
      </c>
      <c r="C17" s="38" t="s">
        <v>69</v>
      </c>
      <c r="D17" s="38" t="n">
        <v>7</v>
      </c>
      <c r="E17" s="38" t="n">
        <v>3</v>
      </c>
      <c r="F17" s="38" t="n">
        <v>6</v>
      </c>
      <c r="G17" s="38" t="n">
        <v>5</v>
      </c>
      <c r="H17" s="38" t="n">
        <v>5</v>
      </c>
      <c r="I17" s="38" t="n">
        <v>5</v>
      </c>
      <c r="J17" s="38" t="n">
        <v>4</v>
      </c>
      <c r="K17" s="38" t="n">
        <v>6</v>
      </c>
      <c r="L17" s="38" t="n">
        <v>6</v>
      </c>
      <c r="M17" s="38" t="n">
        <v>5</v>
      </c>
      <c r="N17" s="38" t="n">
        <v>4</v>
      </c>
      <c r="O17" s="38" t="n">
        <v>6</v>
      </c>
      <c r="P17" s="38" t="n">
        <v>5</v>
      </c>
      <c r="Q17" s="38" t="n">
        <v>3</v>
      </c>
      <c r="R17" s="38" t="n">
        <v>4</v>
      </c>
      <c r="S17" s="38" t="n">
        <v>6</v>
      </c>
      <c r="T17" s="38" t="n">
        <v>3</v>
      </c>
      <c r="U17" s="38" t="n">
        <v>7</v>
      </c>
      <c r="V17" s="39" t="n">
        <f aca="false">IF(COUNT(D17:U17)=18,SUM(D17:U17),IF(W17="","",W17))</f>
        <v>90</v>
      </c>
      <c r="W17" s="20"/>
      <c r="X17" s="38" t="n">
        <v>16</v>
      </c>
      <c r="Y17" s="15" t="n">
        <f aca="false">IF(X17="","",MIN(X17,Supuestos!$F$5))</f>
        <v>16</v>
      </c>
      <c r="Z17" s="39" t="n">
        <f aca="false">IF(OR(V17="",Y17=""),"",V17-Y17)</f>
        <v>74</v>
      </c>
      <c r="AA17" s="15" t="n">
        <f aca="false">IF(Z17="","",COUNTIF($Z$6:$Z$21,"&lt;"&amp;Z17)+1)</f>
        <v>2</v>
      </c>
      <c r="AB17" s="15" t="n">
        <f aca="false">IF(Z17="","",COUNTIF($Z$6:$Z$21,Z17))</f>
        <v>2</v>
      </c>
      <c r="AC17" s="40" t="n">
        <f aca="false">IF(Z17="","",ROUND(SUMPRODUCT((Supuestos!$A$5:$A$28&gt;=AA17)*(Supuestos!$A$5:$A$28&lt;AA17+AB17)*Supuestos!$B$5:$B$28)/AB17*Supuestos!$F$6,0))</f>
        <v>250</v>
      </c>
      <c r="AD17" s="15" t="n">
        <f aca="false">IF(0=1,0,IFERROR(INDEX(Jugadores!$E$5:$E$21,MATCH(A17,Jugadores!$A$5:$A$21,0)),0))</f>
        <v>1</v>
      </c>
      <c r="AE17" s="31" t="n">
        <f aca="false">IF(OR(AC17="",AD17=0),0,AC17)</f>
        <v>250</v>
      </c>
      <c r="AF17" s="15" t="n">
        <f aca="false">IF(COUNT(D17:U17)&lt;18,"",SUMPRODUCT(--((D17:U17)-$D$4:$U$4&lt;=-2)))</f>
        <v>0</v>
      </c>
      <c r="AG17" s="15" t="n">
        <f aca="false">IF(COUNT(D17:U17)&lt;18,"",SUMPRODUCT(--((D17:U17)-$D$4:$U$4=-1)))</f>
        <v>1</v>
      </c>
      <c r="AH17" s="15" t="n">
        <f aca="false">IF(COUNT(D17:U17)&lt;18,"",SUMPRODUCT(--((D17:U17)-$D$4:$U$4=0)))</f>
        <v>5</v>
      </c>
      <c r="AI17" s="15" t="n">
        <f aca="false">IF(COUNT(D17:U17)&lt;18,"",SUMPRODUCT(--((D17:U17)-$D$4:$U$4=1)))</f>
        <v>5</v>
      </c>
      <c r="AJ17" s="15" t="n">
        <f aca="false">IF(COUNT(D17:U17)&lt;18,"",SUMPRODUCT(--((D17:U17)-$D$4:$U$4&gt;=2)))</f>
        <v>7</v>
      </c>
    </row>
    <row r="18" customFormat="false" ht="15" hidden="false" customHeight="false" outlineLevel="0" collapsed="false">
      <c r="A18" s="36" t="s">
        <v>78</v>
      </c>
      <c r="B18" s="37" t="s">
        <v>79</v>
      </c>
      <c r="C18" s="38" t="s">
        <v>69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39" t="str">
        <f aca="false">IF(COUNT(D18:U18)=18,SUM(D18:U18),IF(W18="","",W18))</f>
        <v/>
      </c>
      <c r="W18" s="20"/>
      <c r="X18" s="20"/>
      <c r="Y18" s="15" t="str">
        <f aca="false">IF(X18="","",MIN(X18,Supuestos!$F$5))</f>
        <v/>
      </c>
      <c r="Z18" s="39" t="str">
        <f aca="false">IF(OR(V18="",Y18=""),"",V18-Y18)</f>
        <v/>
      </c>
      <c r="AA18" s="15" t="str">
        <f aca="false">IF(Z18="","",COUNTIF($Z$6:$Z$21,"&lt;"&amp;Z18)+1)</f>
        <v/>
      </c>
      <c r="AB18" s="15" t="str">
        <f aca="false">IF(Z18="","",COUNTIF($Z$6:$Z$21,Z18))</f>
        <v/>
      </c>
      <c r="AC18" s="40" t="str">
        <f aca="false">IF(Z18="","",ROUND(SUMPRODUCT((Supuestos!$A$5:$A$28&gt;=AA18)*(Supuestos!$A$5:$A$28&lt;AA18+AB18)*Supuestos!$B$5:$B$28)/AB18*Supuestos!$F$6,0))</f>
        <v/>
      </c>
      <c r="AD18" s="15" t="n">
        <f aca="false">IF(0=1,0,IFERROR(INDEX(Jugadores!$E$5:$E$21,MATCH(A18,Jugadores!$A$5:$A$21,0)),0))</f>
        <v>1</v>
      </c>
      <c r="AE18" s="31" t="n">
        <f aca="false">IF(OR(AC18="",AD18=0),0,AC18)</f>
        <v>0</v>
      </c>
      <c r="AF18" s="15" t="str">
        <f aca="false">IF(COUNT(D18:U18)&lt;18,"",SUMPRODUCT(--((D18:U18)-$D$4:$U$4&lt;=-2)))</f>
        <v/>
      </c>
      <c r="AG18" s="15" t="str">
        <f aca="false">IF(COUNT(D18:U18)&lt;18,"",SUMPRODUCT(--((D18:U18)-$D$4:$U$4=-1)))</f>
        <v/>
      </c>
      <c r="AH18" s="15" t="str">
        <f aca="false">IF(COUNT(D18:U18)&lt;18,"",SUMPRODUCT(--((D18:U18)-$D$4:$U$4=0)))</f>
        <v/>
      </c>
      <c r="AI18" s="15" t="str">
        <f aca="false">IF(COUNT(D18:U18)&lt;18,"",SUMPRODUCT(--((D18:U18)-$D$4:$U$4=1)))</f>
        <v/>
      </c>
      <c r="AJ18" s="15" t="str">
        <f aca="false">IF(COUNT(D18:U18)&lt;18,"",SUMPRODUCT(--((D18:U18)-$D$4:$U$4&gt;=2)))</f>
        <v/>
      </c>
    </row>
    <row r="19" customFormat="false" ht="15" hidden="false" customHeight="false" outlineLevel="0" collapsed="false">
      <c r="A19" s="36" t="s">
        <v>80</v>
      </c>
      <c r="B19" s="37" t="s">
        <v>81</v>
      </c>
      <c r="C19" s="38" t="s">
        <v>69</v>
      </c>
      <c r="D19" s="38" t="n">
        <v>6</v>
      </c>
      <c r="E19" s="38" t="n">
        <v>5</v>
      </c>
      <c r="F19" s="38" t="n">
        <v>7</v>
      </c>
      <c r="G19" s="38" t="n">
        <v>7</v>
      </c>
      <c r="H19" s="38" t="n">
        <v>6</v>
      </c>
      <c r="I19" s="38" t="n">
        <v>6</v>
      </c>
      <c r="J19" s="38" t="n">
        <v>7</v>
      </c>
      <c r="K19" s="38" t="n">
        <v>9</v>
      </c>
      <c r="L19" s="38" t="n">
        <v>4</v>
      </c>
      <c r="M19" s="38" t="n">
        <v>5</v>
      </c>
      <c r="N19" s="38" t="n">
        <v>5</v>
      </c>
      <c r="O19" s="38" t="n">
        <v>7</v>
      </c>
      <c r="P19" s="38" t="n">
        <v>7</v>
      </c>
      <c r="Q19" s="38" t="n">
        <v>5</v>
      </c>
      <c r="R19" s="38" t="n">
        <v>5</v>
      </c>
      <c r="S19" s="38" t="n">
        <v>6</v>
      </c>
      <c r="T19" s="38" t="n">
        <v>3</v>
      </c>
      <c r="U19" s="38" t="n">
        <v>9</v>
      </c>
      <c r="V19" s="39" t="n">
        <f aca="false">IF(COUNT(D19:U19)=18,SUM(D19:U19),IF(W19="","",W19))</f>
        <v>109</v>
      </c>
      <c r="W19" s="20"/>
      <c r="X19" s="38" t="n">
        <v>21</v>
      </c>
      <c r="Y19" s="15" t="n">
        <f aca="false">IF(X19="","",MIN(X19,Supuestos!$F$5))</f>
        <v>21</v>
      </c>
      <c r="Z19" s="39" t="n">
        <f aca="false">IF(OR(V19="",Y19=""),"",V19-Y19)</f>
        <v>88</v>
      </c>
      <c r="AA19" s="15" t="n">
        <f aca="false">IF(Z19="","",COUNTIF($Z$6:$Z$21,"&lt;"&amp;Z19)+1)</f>
        <v>11</v>
      </c>
      <c r="AB19" s="15" t="n">
        <f aca="false">IF(Z19="","",COUNTIF($Z$6:$Z$21,Z19))</f>
        <v>1</v>
      </c>
      <c r="AC19" s="40" t="n">
        <f aca="false">IF(Z19="","",ROUND(SUMPRODUCT((Supuestos!$A$5:$A$28&gt;=AA19)*(Supuestos!$A$5:$A$28&lt;AA19+AB19)*Supuestos!$B$5:$B$28)/AB19*Supuestos!$F$6,0))</f>
        <v>20</v>
      </c>
      <c r="AD19" s="15" t="n">
        <f aca="false">IF(0=1,0,IFERROR(INDEX(Jugadores!$E$5:$E$21,MATCH(A19,Jugadores!$A$5:$A$21,0)),0))</f>
        <v>1</v>
      </c>
      <c r="AE19" s="31" t="n">
        <f aca="false">IF(OR(AC19="",AD19=0),0,AC19)</f>
        <v>20</v>
      </c>
      <c r="AF19" s="15" t="n">
        <f aca="false">IF(COUNT(D19:U19)&lt;18,"",SUMPRODUCT(--((D19:U19)-$D$4:$U$4&lt;=-2)))</f>
        <v>0</v>
      </c>
      <c r="AG19" s="15" t="n">
        <f aca="false">IF(COUNT(D19:U19)&lt;18,"",SUMPRODUCT(--((D19:U19)-$D$4:$U$4=-1)))</f>
        <v>0</v>
      </c>
      <c r="AH19" s="15" t="n">
        <f aca="false">IF(COUNT(D19:U19)&lt;18,"",SUMPRODUCT(--((D19:U19)-$D$4:$U$4=0)))</f>
        <v>3</v>
      </c>
      <c r="AI19" s="15" t="n">
        <f aca="false">IF(COUNT(D19:U19)&lt;18,"",SUMPRODUCT(--((D19:U19)-$D$4:$U$4=1)))</f>
        <v>3</v>
      </c>
      <c r="AJ19" s="15" t="n">
        <f aca="false">IF(COUNT(D19:U19)&lt;18,"",SUMPRODUCT(--((D19:U19)-$D$4:$U$4&gt;=2)))</f>
        <v>12</v>
      </c>
    </row>
    <row r="20" customFormat="false" ht="15" hidden="false" customHeight="false" outlineLevel="0" collapsed="false">
      <c r="A20" s="36" t="s">
        <v>82</v>
      </c>
      <c r="B20" s="37" t="s">
        <v>83</v>
      </c>
      <c r="C20" s="38" t="s">
        <v>69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39" t="str">
        <f aca="false">IF(COUNT(D20:U20)=18,SUM(D20:U20),IF(W20="","",W20))</f>
        <v/>
      </c>
      <c r="W20" s="20"/>
      <c r="X20" s="20"/>
      <c r="Y20" s="15" t="str">
        <f aca="false">IF(X20="","",MIN(X20,Supuestos!$F$5))</f>
        <v/>
      </c>
      <c r="Z20" s="39" t="str">
        <f aca="false">IF(OR(V20="",Y20=""),"",V20-Y20)</f>
        <v/>
      </c>
      <c r="AA20" s="15" t="str">
        <f aca="false">IF(Z20="","",COUNTIF($Z$6:$Z$21,"&lt;"&amp;Z20)+1)</f>
        <v/>
      </c>
      <c r="AB20" s="15" t="str">
        <f aca="false">IF(Z20="","",COUNTIF($Z$6:$Z$21,Z20))</f>
        <v/>
      </c>
      <c r="AC20" s="40" t="str">
        <f aca="false">IF(Z20="","",ROUND(SUMPRODUCT((Supuestos!$A$5:$A$28&gt;=AA20)*(Supuestos!$A$5:$A$28&lt;AA20+AB20)*Supuestos!$B$5:$B$28)/AB20*Supuestos!$F$6,0))</f>
        <v/>
      </c>
      <c r="AD20" s="15" t="n">
        <f aca="false">IF(0=1,0,IFERROR(INDEX(Jugadores!$E$5:$E$21,MATCH(A20,Jugadores!$A$5:$A$21,0)),0))</f>
        <v>1</v>
      </c>
      <c r="AE20" s="31" t="n">
        <f aca="false">IF(OR(AC20="",AD20=0),0,AC20)</f>
        <v>0</v>
      </c>
      <c r="AF20" s="15" t="str">
        <f aca="false">IF(COUNT(D20:U20)&lt;18,"",SUMPRODUCT(--((D20:U20)-$D$4:$U$4&lt;=-2)))</f>
        <v/>
      </c>
      <c r="AG20" s="15" t="str">
        <f aca="false">IF(COUNT(D20:U20)&lt;18,"",SUMPRODUCT(--((D20:U20)-$D$4:$U$4=-1)))</f>
        <v/>
      </c>
      <c r="AH20" s="15" t="str">
        <f aca="false">IF(COUNT(D20:U20)&lt;18,"",SUMPRODUCT(--((D20:U20)-$D$4:$U$4=0)))</f>
        <v/>
      </c>
      <c r="AI20" s="15" t="str">
        <f aca="false">IF(COUNT(D20:U20)&lt;18,"",SUMPRODUCT(--((D20:U20)-$D$4:$U$4=1)))</f>
        <v/>
      </c>
      <c r="AJ20" s="15" t="str">
        <f aca="false">IF(COUNT(D20:U20)&lt;18,"",SUMPRODUCT(--((D20:U20)-$D$4:$U$4&gt;=2)))</f>
        <v/>
      </c>
    </row>
    <row r="21" customFormat="false" ht="15" hidden="false" customHeight="false" outlineLevel="0" collapsed="false">
      <c r="A21" s="36" t="s">
        <v>181</v>
      </c>
      <c r="B21" s="37" t="s">
        <v>182</v>
      </c>
      <c r="C21" s="38" t="s">
        <v>52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39" t="str">
        <f aca="false">IF(COUNT(D21:U21)=18,SUM(D21:U21),IF(W21="","",W21))</f>
        <v/>
      </c>
      <c r="W21" s="20"/>
      <c r="X21" s="20"/>
      <c r="Y21" s="15" t="str">
        <f aca="false">IF(X21="","",MIN(X21,Supuestos!$F$5))</f>
        <v/>
      </c>
      <c r="Z21" s="39" t="str">
        <f aca="false">IF(OR(V21="",Y21=""),"",V21-Y21)</f>
        <v/>
      </c>
      <c r="AA21" s="15" t="str">
        <f aca="false">IF(Z21="","",COUNTIF($Z$6:$Z$21,"&lt;"&amp;Z21)+1)</f>
        <v/>
      </c>
      <c r="AB21" s="15" t="str">
        <f aca="false">IF(Z21="","",COUNTIF($Z$6:$Z$21,Z21))</f>
        <v/>
      </c>
      <c r="AC21" s="40" t="str">
        <f aca="false">IF(Z21="","",ROUND(SUMPRODUCT((Supuestos!$A$5:$A$28&gt;=AA21)*(Supuestos!$A$5:$A$28&lt;AA21+AB21)*Supuestos!$B$5:$B$28)/AB21*Supuestos!$F$6,0))</f>
        <v/>
      </c>
      <c r="AD21" s="15" t="n">
        <f aca="false">IF(1=1,0,IFERROR(INDEX(Jugadores!$E$5:$E$21,MATCH(A21,Jugadores!$A$5:$A$21,0)),0))</f>
        <v>0</v>
      </c>
      <c r="AE21" s="31" t="n">
        <f aca="false">IF(OR(AC21="",AD21=0),0,AC21)</f>
        <v>0</v>
      </c>
      <c r="AF21" s="15" t="str">
        <f aca="false">IF(COUNT(D21:U21)&lt;18,"",SUMPRODUCT(--((D21:U21)-$D$4:$U$4&lt;=-2)))</f>
        <v/>
      </c>
      <c r="AG21" s="15" t="str">
        <f aca="false">IF(COUNT(D21:U21)&lt;18,"",SUMPRODUCT(--((D21:U21)-$D$4:$U$4=-1)))</f>
        <v/>
      </c>
      <c r="AH21" s="15" t="str">
        <f aca="false">IF(COUNT(D21:U21)&lt;18,"",SUMPRODUCT(--((D21:U21)-$D$4:$U$4=0)))</f>
        <v/>
      </c>
      <c r="AI21" s="15" t="str">
        <f aca="false">IF(COUNT(D21:U21)&lt;18,"",SUMPRODUCT(--((D21:U21)-$D$4:$U$4=1)))</f>
        <v/>
      </c>
      <c r="AJ21" s="15" t="str">
        <f aca="false">IF(COUNT(D21:U21)&lt;18,"",SUMPRODUCT(--((D21:U21)-$D$4:$U$4&gt;=2)))</f>
        <v/>
      </c>
    </row>
    <row r="23" customFormat="false" ht="15" hidden="false" customHeight="false" outlineLevel="0" collapsed="false">
      <c r="B23" s="3" t="s">
        <v>152</v>
      </c>
    </row>
    <row r="24" customFormat="false" ht="15" hidden="false" customHeight="false" outlineLevel="0" collapsed="false">
      <c r="B24" s="4" t="s">
        <v>153</v>
      </c>
      <c r="C24" s="21" t="n">
        <f aca="false">COUNT(V6:V21)</f>
        <v>11</v>
      </c>
    </row>
    <row r="25" customFormat="false" ht="15" hidden="false" customHeight="false" outlineLevel="0" collapsed="false">
      <c r="B25" s="4" t="s">
        <v>154</v>
      </c>
      <c r="C25" s="42" t="n">
        <f aca="false">IFERROR(AVERAGE(V6:V21),"")</f>
        <v>96.1818181818182</v>
      </c>
    </row>
    <row r="26" customFormat="false" ht="15" hidden="false" customHeight="false" outlineLevel="0" collapsed="false">
      <c r="B26" s="4" t="s">
        <v>155</v>
      </c>
      <c r="C26" s="42" t="n">
        <f aca="false">IFERROR(AVERAGE(Z6:Z21),"")</f>
        <v>78.6363636363636</v>
      </c>
    </row>
    <row r="27" customFormat="false" ht="15" hidden="false" customHeight="false" outlineLevel="0" collapsed="false">
      <c r="B27" s="4" t="s">
        <v>156</v>
      </c>
      <c r="C27" s="21" t="n">
        <f aca="false">IFERROR(MIN(Z6:Z21),"")</f>
        <v>73</v>
      </c>
    </row>
    <row r="28" customFormat="false" ht="15" hidden="false" customHeight="false" outlineLevel="0" collapsed="false">
      <c r="B28" s="4" t="s">
        <v>157</v>
      </c>
      <c r="C28" s="21" t="n">
        <f aca="false">IFERROR(MIN(V6:V21),"")</f>
        <v>90</v>
      </c>
    </row>
    <row r="29" customFormat="false" ht="15" hidden="false" customHeight="false" outlineLevel="0" collapsed="false">
      <c r="B29" s="4" t="s">
        <v>158</v>
      </c>
      <c r="C29" s="21" t="n">
        <f aca="false">SUM(AF6:AF21)</f>
        <v>0</v>
      </c>
    </row>
    <row r="30" customFormat="false" ht="15" hidden="false" customHeight="false" outlineLevel="0" collapsed="false">
      <c r="B30" s="4" t="s">
        <v>159</v>
      </c>
      <c r="C30" s="21" t="n">
        <f aca="false">SUM(AG6:AG21)</f>
        <v>3</v>
      </c>
    </row>
    <row r="31" customFormat="false" ht="15" hidden="false" customHeight="false" outlineLevel="0" collapsed="false">
      <c r="B31" s="4" t="s">
        <v>160</v>
      </c>
      <c r="C31" s="21" t="n">
        <f aca="false">SUM(AH6:AH21)</f>
        <v>38</v>
      </c>
    </row>
    <row r="32" customFormat="false" ht="15" hidden="false" customHeight="false" outlineLevel="0" collapsed="false">
      <c r="B32" s="4" t="s">
        <v>161</v>
      </c>
      <c r="C32" s="21" t="n">
        <f aca="false">SUM(AI6:AI21)</f>
        <v>78</v>
      </c>
    </row>
    <row r="33" customFormat="false" ht="15" hidden="false" customHeight="false" outlineLevel="0" collapsed="false">
      <c r="B33" s="4" t="s">
        <v>162</v>
      </c>
      <c r="C33" s="21" t="n">
        <f aca="false">SUM(AJ6:AJ21)</f>
        <v>79</v>
      </c>
    </row>
  </sheetData>
  <conditionalFormatting sqref="D6:U21">
    <cfRule type="expression" priority="2" aboveAverage="0" equalAverage="0" bottom="0" percent="0" rank="0" text="" dxfId="0">
      <formula>AND(ISNUMBER(D6),D6-D$4&lt;=-2)</formula>
    </cfRule>
    <cfRule type="expression" priority="3" aboveAverage="0" equalAverage="0" bottom="0" percent="0" rank="0" text="" dxfId="1">
      <formula>AND(ISNUMBER(D6),D6-D$4=-1)</formula>
    </cfRule>
    <cfRule type="expression" priority="4" aboveAverage="0" equalAverage="0" bottom="0" percent="0" rank="0" text="" dxfId="2">
      <formula>AND(ISNUMBER(D6),D6-D$4=1)</formula>
    </cfRule>
    <cfRule type="expression" priority="5" aboveAverage="0" equalAverage="0" bottom="0" percent="0" rank="0" text="" dxfId="3">
      <formula>AND(ISNUMBER(D6),D6-D$4&gt;=2)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21" min="4" style="0" width="4.2"/>
    <col collapsed="false" customWidth="true" hidden="false" outlineLevel="0" max="22" min="22" style="0" width="7"/>
    <col collapsed="false" customWidth="true" hidden="false" outlineLevel="0" max="23" min="23" style="0" width="8"/>
    <col collapsed="false" customWidth="true" hidden="false" outlineLevel="0" max="26" min="24" style="0" width="7"/>
    <col collapsed="false" customWidth="true" hidden="false" outlineLevel="0" max="28" min="27" style="0" width="6"/>
    <col collapsed="false" customWidth="true" hidden="false" outlineLevel="0" max="29" min="29" style="0" width="8"/>
    <col collapsed="false" customWidth="true" hidden="false" outlineLevel="0" max="30" min="30" style="0" width="7"/>
    <col collapsed="false" customWidth="true" hidden="false" outlineLevel="0" max="31" min="31" style="0" width="8"/>
    <col collapsed="false" customWidth="true" hidden="false" outlineLevel="0" max="36" min="32" style="0" width="6"/>
  </cols>
  <sheetData>
    <row r="1" customFormat="false" ht="17.3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2" t="s">
        <v>184</v>
      </c>
    </row>
    <row r="4" customFormat="false" ht="15" hidden="false" customHeight="false" outlineLevel="0" collapsed="false">
      <c r="B4" s="33" t="s">
        <v>119</v>
      </c>
      <c r="D4" s="34" t="n">
        <v>5</v>
      </c>
      <c r="E4" s="34" t="n">
        <v>3</v>
      </c>
      <c r="F4" s="34" t="n">
        <v>4</v>
      </c>
      <c r="G4" s="34" t="n">
        <v>5</v>
      </c>
      <c r="H4" s="34" t="n">
        <v>4</v>
      </c>
      <c r="I4" s="34" t="n">
        <v>4</v>
      </c>
      <c r="J4" s="34" t="n">
        <v>3</v>
      </c>
      <c r="K4" s="34" t="n">
        <v>4</v>
      </c>
      <c r="L4" s="34" t="n">
        <v>4</v>
      </c>
      <c r="M4" s="34" t="n">
        <v>4</v>
      </c>
      <c r="N4" s="34" t="n">
        <v>5</v>
      </c>
      <c r="O4" s="34" t="n">
        <v>4</v>
      </c>
      <c r="P4" s="34" t="n">
        <v>4</v>
      </c>
      <c r="Q4" s="34" t="n">
        <v>3</v>
      </c>
      <c r="R4" s="34" t="n">
        <v>4</v>
      </c>
      <c r="S4" s="34" t="n">
        <v>4</v>
      </c>
      <c r="T4" s="34" t="n">
        <v>3</v>
      </c>
      <c r="U4" s="34" t="n">
        <v>5</v>
      </c>
      <c r="V4" s="35" t="n">
        <f aca="false">SUM(D4:U4)</f>
        <v>72</v>
      </c>
    </row>
    <row r="5" customFormat="false" ht="15" hidden="false" customHeight="false" outlineLevel="0" collapsed="false">
      <c r="A5" s="8" t="s">
        <v>35</v>
      </c>
      <c r="B5" s="8" t="s">
        <v>9</v>
      </c>
      <c r="C5" s="8" t="s">
        <v>36</v>
      </c>
      <c r="D5" s="8" t="s">
        <v>120</v>
      </c>
      <c r="E5" s="8" t="s">
        <v>121</v>
      </c>
      <c r="F5" s="8" t="s">
        <v>122</v>
      </c>
      <c r="G5" s="8" t="s">
        <v>123</v>
      </c>
      <c r="H5" s="8" t="s">
        <v>124</v>
      </c>
      <c r="I5" s="8" t="s">
        <v>125</v>
      </c>
      <c r="J5" s="8" t="s">
        <v>126</v>
      </c>
      <c r="K5" s="8" t="s">
        <v>127</v>
      </c>
      <c r="L5" s="8" t="s">
        <v>128</v>
      </c>
      <c r="M5" s="8" t="s">
        <v>129</v>
      </c>
      <c r="N5" s="8" t="s">
        <v>130</v>
      </c>
      <c r="O5" s="8" t="s">
        <v>131</v>
      </c>
      <c r="P5" s="8" t="s">
        <v>132</v>
      </c>
      <c r="Q5" s="8" t="s">
        <v>133</v>
      </c>
      <c r="R5" s="8" t="s">
        <v>134</v>
      </c>
      <c r="S5" s="8" t="s">
        <v>135</v>
      </c>
      <c r="T5" s="8" t="s">
        <v>136</v>
      </c>
      <c r="U5" s="8" t="s">
        <v>137</v>
      </c>
      <c r="V5" s="8" t="s">
        <v>138</v>
      </c>
      <c r="W5" s="8" t="s">
        <v>139</v>
      </c>
      <c r="X5" s="8" t="s">
        <v>140</v>
      </c>
      <c r="Y5" s="8" t="s">
        <v>141</v>
      </c>
      <c r="Z5" s="8" t="s">
        <v>142</v>
      </c>
      <c r="AA5" s="8" t="s">
        <v>143</v>
      </c>
      <c r="AB5" s="8" t="s">
        <v>144</v>
      </c>
      <c r="AC5" s="8" t="s">
        <v>10</v>
      </c>
      <c r="AD5" s="8" t="s">
        <v>145</v>
      </c>
      <c r="AE5" s="8" t="s">
        <v>146</v>
      </c>
      <c r="AF5" s="8" t="s">
        <v>147</v>
      </c>
      <c r="AG5" s="8" t="s">
        <v>148</v>
      </c>
      <c r="AH5" s="8" t="s">
        <v>149</v>
      </c>
      <c r="AI5" s="8" t="s">
        <v>150</v>
      </c>
      <c r="AJ5" s="8" t="s">
        <v>151</v>
      </c>
    </row>
    <row r="6" customFormat="false" ht="15" hidden="false" customHeight="false" outlineLevel="0" collapsed="false">
      <c r="A6" s="36" t="s">
        <v>50</v>
      </c>
      <c r="B6" s="37" t="s">
        <v>51</v>
      </c>
      <c r="C6" s="38" t="s">
        <v>52</v>
      </c>
      <c r="D6" s="38" t="n">
        <v>5</v>
      </c>
      <c r="E6" s="38" t="n">
        <v>3</v>
      </c>
      <c r="F6" s="38" t="n">
        <v>7</v>
      </c>
      <c r="G6" s="38" t="n">
        <v>5</v>
      </c>
      <c r="H6" s="38" t="n">
        <v>5</v>
      </c>
      <c r="I6" s="38" t="n">
        <v>4</v>
      </c>
      <c r="J6" s="38" t="n">
        <v>3</v>
      </c>
      <c r="K6" s="38" t="n">
        <v>5</v>
      </c>
      <c r="L6" s="38" t="n">
        <v>5</v>
      </c>
      <c r="M6" s="38" t="n">
        <v>4</v>
      </c>
      <c r="N6" s="38" t="n">
        <v>4</v>
      </c>
      <c r="O6" s="38" t="n">
        <v>4</v>
      </c>
      <c r="P6" s="38" t="n">
        <v>4</v>
      </c>
      <c r="Q6" s="38" t="n">
        <v>4</v>
      </c>
      <c r="R6" s="38" t="n">
        <v>3</v>
      </c>
      <c r="S6" s="38" t="n">
        <v>5</v>
      </c>
      <c r="T6" s="38" t="n">
        <v>4</v>
      </c>
      <c r="U6" s="38" t="n">
        <v>6</v>
      </c>
      <c r="V6" s="39" t="n">
        <f aca="false">IF(COUNT(D6:U6)=18,SUM(D6:U6),IF(W6="","",W6))</f>
        <v>80</v>
      </c>
      <c r="W6" s="20"/>
      <c r="X6" s="38" t="n">
        <v>7</v>
      </c>
      <c r="Y6" s="15" t="n">
        <f aca="false">IF(X6="","",MIN(X6,Supuestos!$F$5))</f>
        <v>7</v>
      </c>
      <c r="Z6" s="39" t="n">
        <f aca="false">IF(OR(V6="",Y6=""),"",V6-Y6)</f>
        <v>73</v>
      </c>
      <c r="AA6" s="15" t="n">
        <f aca="false">IF(Z6="","",COUNTIF($Z$6:$Z$17,"&lt;"&amp;Z6)+1)</f>
        <v>3</v>
      </c>
      <c r="AB6" s="15" t="n">
        <f aca="false">IF(Z6="","",COUNTIF($Z$6:$Z$17,Z6))</f>
        <v>1</v>
      </c>
      <c r="AC6" s="40" t="n">
        <f aca="false">IF(Z6="","",ROUND(SUMPRODUCT((Supuestos!$A$5:$A$28&gt;=AA6)*(Supuestos!$A$5:$A$28&lt;AA6+AB6)*Supuestos!$B$5:$B$28)/AB6*Supuestos!$F$6,0))</f>
        <v>200</v>
      </c>
      <c r="AD6" s="15" t="n">
        <f aca="false">IF(0=1,0,IFERROR(INDEX(Jugadores!$E$5:$E$21,MATCH(A6,Jugadores!$A$5:$A$21,0)),0))</f>
        <v>1</v>
      </c>
      <c r="AE6" s="31" t="n">
        <f aca="false">IF(OR(AC6="",AD6=0),0,AC6)</f>
        <v>200</v>
      </c>
      <c r="AF6" s="15" t="n">
        <f aca="false">IF(COUNT(D6:U6)&lt;18,"",SUMPRODUCT(--((D6:U6)-$D$4:$U$4&lt;=-2)))</f>
        <v>0</v>
      </c>
      <c r="AG6" s="15" t="n">
        <f aca="false">IF(COUNT(D6:U6)&lt;18,"",SUMPRODUCT(--((D6:U6)-$D$4:$U$4=-1)))</f>
        <v>2</v>
      </c>
      <c r="AH6" s="15" t="n">
        <f aca="false">IF(COUNT(D6:U6)&lt;18,"",SUMPRODUCT(--((D6:U6)-$D$4:$U$4=0)))</f>
        <v>8</v>
      </c>
      <c r="AI6" s="15" t="n">
        <f aca="false">IF(COUNT(D6:U6)&lt;18,"",SUMPRODUCT(--((D6:U6)-$D$4:$U$4=1)))</f>
        <v>7</v>
      </c>
      <c r="AJ6" s="15" t="n">
        <f aca="false">IF(COUNT(D6:U6)&lt;18,"",SUMPRODUCT(--((D6:U6)-$D$4:$U$4&gt;=2)))</f>
        <v>1</v>
      </c>
    </row>
    <row r="7" customFormat="false" ht="15" hidden="false" customHeight="false" outlineLevel="0" collapsed="false">
      <c r="A7" s="36" t="s">
        <v>55</v>
      </c>
      <c r="B7" s="37" t="s">
        <v>56</v>
      </c>
      <c r="C7" s="38" t="s">
        <v>52</v>
      </c>
      <c r="D7" s="38" t="n">
        <v>9</v>
      </c>
      <c r="E7" s="38" t="n">
        <v>3</v>
      </c>
      <c r="F7" s="38" t="n">
        <v>5</v>
      </c>
      <c r="G7" s="38" t="n">
        <v>7</v>
      </c>
      <c r="H7" s="38" t="n">
        <v>6</v>
      </c>
      <c r="I7" s="38" t="n">
        <v>5</v>
      </c>
      <c r="J7" s="38" t="n">
        <v>2</v>
      </c>
      <c r="K7" s="38" t="n">
        <v>6</v>
      </c>
      <c r="L7" s="38" t="n">
        <v>5</v>
      </c>
      <c r="M7" s="38" t="n">
        <v>4</v>
      </c>
      <c r="N7" s="38" t="n">
        <v>7</v>
      </c>
      <c r="O7" s="38" t="n">
        <v>5</v>
      </c>
      <c r="P7" s="38" t="n">
        <v>4</v>
      </c>
      <c r="Q7" s="38" t="n">
        <v>4</v>
      </c>
      <c r="R7" s="38" t="n">
        <v>4</v>
      </c>
      <c r="S7" s="38" t="n">
        <v>7</v>
      </c>
      <c r="T7" s="38" t="n">
        <v>4</v>
      </c>
      <c r="U7" s="38" t="n">
        <v>4</v>
      </c>
      <c r="V7" s="39" t="n">
        <f aca="false">IF(COUNT(D7:U7)=18,SUM(D7:U7),IF(W7="","",W7))</f>
        <v>91</v>
      </c>
      <c r="W7" s="20"/>
      <c r="X7" s="38" t="n">
        <v>15</v>
      </c>
      <c r="Y7" s="15" t="n">
        <f aca="false">IF(X7="","",MIN(X7,Supuestos!$F$5))</f>
        <v>15</v>
      </c>
      <c r="Z7" s="39" t="n">
        <f aca="false">IF(OR(V7="",Y7=""),"",V7-Y7)</f>
        <v>76</v>
      </c>
      <c r="AA7" s="15" t="n">
        <f aca="false">IF(Z7="","",COUNTIF($Z$6:$Z$17,"&lt;"&amp;Z7)+1)</f>
        <v>6</v>
      </c>
      <c r="AB7" s="15" t="n">
        <f aca="false">IF(Z7="","",COUNTIF($Z$6:$Z$17,Z7))</f>
        <v>1</v>
      </c>
      <c r="AC7" s="40" t="n">
        <f aca="false">IF(Z7="","",ROUND(SUMPRODUCT((Supuestos!$A$5:$A$28&gt;=AA7)*(Supuestos!$A$5:$A$28&lt;AA7+AB7)*Supuestos!$B$5:$B$28)/AB7*Supuestos!$F$6,0))</f>
        <v>100</v>
      </c>
      <c r="AD7" s="15" t="n">
        <f aca="false">IF(0=1,0,IFERROR(INDEX(Jugadores!$E$5:$E$21,MATCH(A7,Jugadores!$A$5:$A$21,0)),0))</f>
        <v>1</v>
      </c>
      <c r="AE7" s="31" t="n">
        <f aca="false">IF(OR(AC7="",AD7=0),0,AC7)</f>
        <v>100</v>
      </c>
      <c r="AF7" s="15" t="n">
        <f aca="false">IF(COUNT(D7:U7)&lt;18,"",SUMPRODUCT(--((D7:U7)-$D$4:$U$4&lt;=-2)))</f>
        <v>0</v>
      </c>
      <c r="AG7" s="15" t="n">
        <f aca="false">IF(COUNT(D7:U7)&lt;18,"",SUMPRODUCT(--((D7:U7)-$D$4:$U$4=-1)))</f>
        <v>2</v>
      </c>
      <c r="AH7" s="15" t="n">
        <f aca="false">IF(COUNT(D7:U7)&lt;18,"",SUMPRODUCT(--((D7:U7)-$D$4:$U$4=0)))</f>
        <v>4</v>
      </c>
      <c r="AI7" s="15" t="n">
        <f aca="false">IF(COUNT(D7:U7)&lt;18,"",SUMPRODUCT(--((D7:U7)-$D$4:$U$4=1)))</f>
        <v>6</v>
      </c>
      <c r="AJ7" s="15" t="n">
        <f aca="false">IF(COUNT(D7:U7)&lt;18,"",SUMPRODUCT(--((D7:U7)-$D$4:$U$4&gt;=2)))</f>
        <v>6</v>
      </c>
    </row>
    <row r="8" customFormat="false" ht="15" hidden="false" customHeight="false" outlineLevel="0" collapsed="false">
      <c r="A8" s="36" t="s">
        <v>59</v>
      </c>
      <c r="B8" s="37" t="s">
        <v>60</v>
      </c>
      <c r="C8" s="38" t="s">
        <v>52</v>
      </c>
      <c r="D8" s="38" t="n">
        <v>6</v>
      </c>
      <c r="E8" s="38" t="n">
        <v>3</v>
      </c>
      <c r="F8" s="38" t="n">
        <v>4</v>
      </c>
      <c r="G8" s="38" t="n">
        <v>5</v>
      </c>
      <c r="H8" s="38" t="n">
        <v>5</v>
      </c>
      <c r="I8" s="38" t="n">
        <v>7</v>
      </c>
      <c r="J8" s="38" t="n">
        <v>4</v>
      </c>
      <c r="K8" s="38" t="n">
        <v>5</v>
      </c>
      <c r="L8" s="38" t="n">
        <v>5</v>
      </c>
      <c r="M8" s="38" t="n">
        <v>4</v>
      </c>
      <c r="N8" s="38" t="n">
        <v>5</v>
      </c>
      <c r="O8" s="38" t="n">
        <v>4</v>
      </c>
      <c r="P8" s="38" t="n">
        <v>6</v>
      </c>
      <c r="Q8" s="38" t="n">
        <v>3</v>
      </c>
      <c r="R8" s="38" t="n">
        <v>4</v>
      </c>
      <c r="S8" s="38" t="n">
        <v>6</v>
      </c>
      <c r="T8" s="38" t="n">
        <v>3</v>
      </c>
      <c r="U8" s="38" t="n">
        <v>5</v>
      </c>
      <c r="V8" s="39" t="n">
        <f aca="false">IF(COUNT(D8:U8)=18,SUM(D8:U8),IF(W8="","",W8))</f>
        <v>84</v>
      </c>
      <c r="W8" s="20"/>
      <c r="X8" s="38" t="n">
        <v>16</v>
      </c>
      <c r="Y8" s="15" t="n">
        <f aca="false">IF(X8="","",MIN(X8,Supuestos!$F$5))</f>
        <v>16</v>
      </c>
      <c r="Z8" s="39" t="n">
        <f aca="false">IF(OR(V8="",Y8=""),"",V8-Y8)</f>
        <v>68</v>
      </c>
      <c r="AA8" s="15" t="n">
        <f aca="false">IF(Z8="","",COUNTIF($Z$6:$Z$17,"&lt;"&amp;Z8)+1)</f>
        <v>1</v>
      </c>
      <c r="AB8" s="15" t="n">
        <f aca="false">IF(Z8="","",COUNTIF($Z$6:$Z$17,Z8))</f>
        <v>1</v>
      </c>
      <c r="AC8" s="40" t="n">
        <f aca="false">IF(Z8="","",ROUND(SUMPRODUCT((Supuestos!$A$5:$A$28&gt;=AA8)*(Supuestos!$A$5:$A$28&lt;AA8+AB8)*Supuestos!$B$5:$B$28)/AB8*Supuestos!$F$6,0))</f>
        <v>500</v>
      </c>
      <c r="AD8" s="15" t="n">
        <f aca="false">IF(0=1,0,IFERROR(INDEX(Jugadores!$E$5:$E$21,MATCH(A8,Jugadores!$A$5:$A$21,0)),0))</f>
        <v>1</v>
      </c>
      <c r="AE8" s="31" t="n">
        <f aca="false">IF(OR(AC8="",AD8=0),0,AC8)</f>
        <v>500</v>
      </c>
      <c r="AF8" s="15" t="n">
        <f aca="false">IF(COUNT(D8:U8)&lt;18,"",SUMPRODUCT(--((D8:U8)-$D$4:$U$4&lt;=-2)))</f>
        <v>0</v>
      </c>
      <c r="AG8" s="15" t="n">
        <f aca="false">IF(COUNT(D8:U8)&lt;18,"",SUMPRODUCT(--((D8:U8)-$D$4:$U$4=-1)))</f>
        <v>0</v>
      </c>
      <c r="AH8" s="15" t="n">
        <f aca="false">IF(COUNT(D8:U8)&lt;18,"",SUMPRODUCT(--((D8:U8)-$D$4:$U$4=0)))</f>
        <v>10</v>
      </c>
      <c r="AI8" s="15" t="n">
        <f aca="false">IF(COUNT(D8:U8)&lt;18,"",SUMPRODUCT(--((D8:U8)-$D$4:$U$4=1)))</f>
        <v>5</v>
      </c>
      <c r="AJ8" s="15" t="n">
        <f aca="false">IF(COUNT(D8:U8)&lt;18,"",SUMPRODUCT(--((D8:U8)-$D$4:$U$4&gt;=2)))</f>
        <v>3</v>
      </c>
    </row>
    <row r="9" customFormat="false" ht="15" hidden="false" customHeight="false" outlineLevel="0" collapsed="false">
      <c r="A9" s="36" t="s">
        <v>61</v>
      </c>
      <c r="B9" s="37" t="s">
        <v>62</v>
      </c>
      <c r="C9" s="38" t="s">
        <v>52</v>
      </c>
      <c r="D9" s="38" t="n">
        <v>6</v>
      </c>
      <c r="E9" s="38" t="n">
        <v>5</v>
      </c>
      <c r="F9" s="38" t="n">
        <v>6</v>
      </c>
      <c r="G9" s="38" t="n">
        <v>6</v>
      </c>
      <c r="H9" s="38" t="n">
        <v>8</v>
      </c>
      <c r="I9" s="38" t="n">
        <v>7</v>
      </c>
      <c r="J9" s="38" t="n">
        <v>3</v>
      </c>
      <c r="K9" s="38" t="n">
        <v>7</v>
      </c>
      <c r="L9" s="38" t="n">
        <v>8</v>
      </c>
      <c r="M9" s="38" t="n">
        <v>4</v>
      </c>
      <c r="N9" s="38" t="n">
        <v>6</v>
      </c>
      <c r="O9" s="38" t="n">
        <v>4</v>
      </c>
      <c r="P9" s="38" t="n">
        <v>5</v>
      </c>
      <c r="Q9" s="38" t="n">
        <v>4</v>
      </c>
      <c r="R9" s="38" t="n">
        <v>6</v>
      </c>
      <c r="S9" s="38" t="n">
        <v>5</v>
      </c>
      <c r="T9" s="38" t="n">
        <v>3</v>
      </c>
      <c r="U9" s="38" t="n">
        <v>7</v>
      </c>
      <c r="V9" s="39" t="n">
        <f aca="false">IF(COUNT(D9:U9)=18,SUM(D9:U9),IF(W9="","",W9))</f>
        <v>100</v>
      </c>
      <c r="W9" s="20"/>
      <c r="X9" s="38" t="n">
        <v>25</v>
      </c>
      <c r="Y9" s="15" t="n">
        <f aca="false">IF(X9="","",MIN(X9,Supuestos!$F$5))</f>
        <v>25</v>
      </c>
      <c r="Z9" s="39" t="n">
        <f aca="false">IF(OR(V9="",Y9=""),"",V9-Y9)</f>
        <v>75</v>
      </c>
      <c r="AA9" s="15" t="n">
        <f aca="false">IF(Z9="","",COUNTIF($Z$6:$Z$17,"&lt;"&amp;Z9)+1)</f>
        <v>4</v>
      </c>
      <c r="AB9" s="15" t="n">
        <f aca="false">IF(Z9="","",COUNTIF($Z$6:$Z$17,Z9))</f>
        <v>2</v>
      </c>
      <c r="AC9" s="40" t="n">
        <f aca="false">IF(Z9="","",ROUND(SUMPRODUCT((Supuestos!$A$5:$A$28&gt;=AA9)*(Supuestos!$A$5:$A$28&lt;AA9+AB9)*Supuestos!$B$5:$B$28)/AB9*Supuestos!$F$6,0))</f>
        <v>135</v>
      </c>
      <c r="AD9" s="15" t="n">
        <f aca="false">IF(0=1,0,IFERROR(INDEX(Jugadores!$E$5:$E$21,MATCH(A9,Jugadores!$A$5:$A$21,0)),0))</f>
        <v>1</v>
      </c>
      <c r="AE9" s="31" t="n">
        <f aca="false">IF(OR(AC9="",AD9=0),0,AC9)</f>
        <v>135</v>
      </c>
      <c r="AF9" s="15" t="n">
        <f aca="false">IF(COUNT(D9:U9)&lt;18,"",SUMPRODUCT(--((D9:U9)-$D$4:$U$4&lt;=-2)))</f>
        <v>0</v>
      </c>
      <c r="AG9" s="15" t="n">
        <f aca="false">IF(COUNT(D9:U9)&lt;18,"",SUMPRODUCT(--((D9:U9)-$D$4:$U$4=-1)))</f>
        <v>0</v>
      </c>
      <c r="AH9" s="15" t="n">
        <f aca="false">IF(COUNT(D9:U9)&lt;18,"",SUMPRODUCT(--((D9:U9)-$D$4:$U$4=0)))</f>
        <v>4</v>
      </c>
      <c r="AI9" s="15" t="n">
        <f aca="false">IF(COUNT(D9:U9)&lt;18,"",SUMPRODUCT(--((D9:U9)-$D$4:$U$4=1)))</f>
        <v>6</v>
      </c>
      <c r="AJ9" s="15" t="n">
        <f aca="false">IF(COUNT(D9:U9)&lt;18,"",SUMPRODUCT(--((D9:U9)-$D$4:$U$4&gt;=2)))</f>
        <v>8</v>
      </c>
    </row>
    <row r="10" customFormat="false" ht="15" hidden="false" customHeight="false" outlineLevel="0" collapsed="false">
      <c r="A10" s="36" t="s">
        <v>63</v>
      </c>
      <c r="B10" s="37" t="s">
        <v>64</v>
      </c>
      <c r="C10" s="38" t="s">
        <v>52</v>
      </c>
      <c r="D10" s="38" t="n">
        <v>6</v>
      </c>
      <c r="E10" s="38" t="n">
        <v>3</v>
      </c>
      <c r="F10" s="38" t="n">
        <v>5</v>
      </c>
      <c r="G10" s="38" t="n">
        <v>6</v>
      </c>
      <c r="H10" s="38" t="n">
        <v>5</v>
      </c>
      <c r="I10" s="38" t="n">
        <v>5</v>
      </c>
      <c r="J10" s="38" t="n">
        <v>4</v>
      </c>
      <c r="K10" s="38" t="n">
        <v>6</v>
      </c>
      <c r="L10" s="38" t="n">
        <v>6</v>
      </c>
      <c r="M10" s="38" t="n">
        <v>5</v>
      </c>
      <c r="N10" s="38" t="n">
        <v>7</v>
      </c>
      <c r="O10" s="38" t="n">
        <v>5</v>
      </c>
      <c r="P10" s="38" t="n">
        <v>6</v>
      </c>
      <c r="Q10" s="38" t="n">
        <v>4</v>
      </c>
      <c r="R10" s="38" t="n">
        <v>5</v>
      </c>
      <c r="S10" s="38" t="n">
        <v>6</v>
      </c>
      <c r="T10" s="38" t="n">
        <v>5</v>
      </c>
      <c r="U10" s="38" t="n">
        <v>6</v>
      </c>
      <c r="V10" s="39" t="n">
        <f aca="false">IF(COUNT(D10:U10)=18,SUM(D10:U10),IF(W10="","",W10))</f>
        <v>95</v>
      </c>
      <c r="W10" s="20"/>
      <c r="X10" s="38" t="n">
        <v>20</v>
      </c>
      <c r="Y10" s="15" t="n">
        <f aca="false">IF(X10="","",MIN(X10,Supuestos!$F$5))</f>
        <v>20</v>
      </c>
      <c r="Z10" s="39" t="n">
        <f aca="false">IF(OR(V10="",Y10=""),"",V10-Y10)</f>
        <v>75</v>
      </c>
      <c r="AA10" s="15" t="n">
        <f aca="false">IF(Z10="","",COUNTIF($Z$6:$Z$17,"&lt;"&amp;Z10)+1)</f>
        <v>4</v>
      </c>
      <c r="AB10" s="15" t="n">
        <f aca="false">IF(Z10="","",COUNTIF($Z$6:$Z$17,Z10))</f>
        <v>2</v>
      </c>
      <c r="AC10" s="40" t="n">
        <f aca="false">IF(Z10="","",ROUND(SUMPRODUCT((Supuestos!$A$5:$A$28&gt;=AA10)*(Supuestos!$A$5:$A$28&lt;AA10+AB10)*Supuestos!$B$5:$B$28)/AB10*Supuestos!$F$6,0))</f>
        <v>135</v>
      </c>
      <c r="AD10" s="15" t="n">
        <f aca="false">IF(0=1,0,IFERROR(INDEX(Jugadores!$E$5:$E$21,MATCH(A10,Jugadores!$A$5:$A$21,0)),0))</f>
        <v>1</v>
      </c>
      <c r="AE10" s="31" t="n">
        <f aca="false">IF(OR(AC10="",AD10=0),0,AC10)</f>
        <v>135</v>
      </c>
      <c r="AF10" s="15" t="n">
        <f aca="false">IF(COUNT(D10:U10)&lt;18,"",SUMPRODUCT(--((D10:U10)-$D$4:$U$4&lt;=-2)))</f>
        <v>0</v>
      </c>
      <c r="AG10" s="15" t="n">
        <f aca="false">IF(COUNT(D10:U10)&lt;18,"",SUMPRODUCT(--((D10:U10)-$D$4:$U$4=-1)))</f>
        <v>0</v>
      </c>
      <c r="AH10" s="15" t="n">
        <f aca="false">IF(COUNT(D10:U10)&lt;18,"",SUMPRODUCT(--((D10:U10)-$D$4:$U$4=0)))</f>
        <v>1</v>
      </c>
      <c r="AI10" s="15" t="n">
        <f aca="false">IF(COUNT(D10:U10)&lt;18,"",SUMPRODUCT(--((D10:U10)-$D$4:$U$4=1)))</f>
        <v>11</v>
      </c>
      <c r="AJ10" s="15" t="n">
        <f aca="false">IF(COUNT(D10:U10)&lt;18,"",SUMPRODUCT(--((D10:U10)-$D$4:$U$4&gt;=2)))</f>
        <v>6</v>
      </c>
    </row>
    <row r="11" customFormat="false" ht="15" hidden="false" customHeight="false" outlineLevel="0" collapsed="false">
      <c r="A11" s="36" t="s">
        <v>65</v>
      </c>
      <c r="B11" s="37" t="s">
        <v>66</v>
      </c>
      <c r="C11" s="38" t="s">
        <v>52</v>
      </c>
      <c r="D11" s="38" t="n">
        <v>6</v>
      </c>
      <c r="E11" s="38" t="n">
        <v>6</v>
      </c>
      <c r="F11" s="38" t="n">
        <v>6</v>
      </c>
      <c r="G11" s="38" t="n">
        <v>8</v>
      </c>
      <c r="H11" s="38" t="n">
        <v>6</v>
      </c>
      <c r="I11" s="38" t="n">
        <v>5</v>
      </c>
      <c r="J11" s="38" t="n">
        <v>4</v>
      </c>
      <c r="K11" s="38" t="n">
        <v>5</v>
      </c>
      <c r="L11" s="38" t="n">
        <v>5</v>
      </c>
      <c r="M11" s="38" t="n">
        <v>7</v>
      </c>
      <c r="N11" s="38" t="n">
        <v>6</v>
      </c>
      <c r="O11" s="38" t="n">
        <v>7</v>
      </c>
      <c r="P11" s="38" t="n">
        <v>7</v>
      </c>
      <c r="Q11" s="38" t="n">
        <v>5</v>
      </c>
      <c r="R11" s="38" t="n">
        <v>5</v>
      </c>
      <c r="S11" s="38" t="n">
        <v>7</v>
      </c>
      <c r="T11" s="38" t="n">
        <v>5</v>
      </c>
      <c r="U11" s="38" t="n">
        <v>5</v>
      </c>
      <c r="V11" s="39" t="n">
        <f aca="false">IF(COUNT(D11:U11)=18,SUM(D11:U11),IF(W11="","",W11))</f>
        <v>105</v>
      </c>
      <c r="W11" s="20"/>
      <c r="X11" s="38" t="n">
        <v>26</v>
      </c>
      <c r="Y11" s="15" t="n">
        <f aca="false">IF(X11="","",MIN(X11,Supuestos!$F$5))</f>
        <v>26</v>
      </c>
      <c r="Z11" s="39" t="n">
        <f aca="false">IF(OR(V11="",Y11=""),"",V11-Y11)</f>
        <v>79</v>
      </c>
      <c r="AA11" s="15" t="n">
        <f aca="false">IF(Z11="","",COUNTIF($Z$6:$Z$17,"&lt;"&amp;Z11)+1)</f>
        <v>8</v>
      </c>
      <c r="AB11" s="15" t="n">
        <f aca="false">IF(Z11="","",COUNTIF($Z$6:$Z$17,Z11))</f>
        <v>2</v>
      </c>
      <c r="AC11" s="40" t="n">
        <f aca="false">IF(Z11="","",ROUND(SUMPRODUCT((Supuestos!$A$5:$A$28&gt;=AA11)*(Supuestos!$A$5:$A$28&lt;AA11+AB11)*Supuestos!$B$5:$B$28)/AB11*Supuestos!$F$6,0))</f>
        <v>78</v>
      </c>
      <c r="AD11" s="15" t="n">
        <f aca="false">IF(0=1,0,IFERROR(INDEX(Jugadores!$E$5:$E$21,MATCH(A11,Jugadores!$A$5:$A$21,0)),0))</f>
        <v>1</v>
      </c>
      <c r="AE11" s="31" t="n">
        <f aca="false">IF(OR(AC11="",AD11=0),0,AC11)</f>
        <v>78</v>
      </c>
      <c r="AF11" s="15" t="n">
        <f aca="false">IF(COUNT(D11:U11)&lt;18,"",SUMPRODUCT(--((D11:U11)-$D$4:$U$4&lt;=-2)))</f>
        <v>0</v>
      </c>
      <c r="AG11" s="15" t="n">
        <f aca="false">IF(COUNT(D11:U11)&lt;18,"",SUMPRODUCT(--((D11:U11)-$D$4:$U$4=-1)))</f>
        <v>0</v>
      </c>
      <c r="AH11" s="15" t="n">
        <f aca="false">IF(COUNT(D11:U11)&lt;18,"",SUMPRODUCT(--((D11:U11)-$D$4:$U$4=0)))</f>
        <v>1</v>
      </c>
      <c r="AI11" s="15" t="n">
        <f aca="false">IF(COUNT(D11:U11)&lt;18,"",SUMPRODUCT(--((D11:U11)-$D$4:$U$4=1)))</f>
        <v>7</v>
      </c>
      <c r="AJ11" s="15" t="n">
        <f aca="false">IF(COUNT(D11:U11)&lt;18,"",SUMPRODUCT(--((D11:U11)-$D$4:$U$4&gt;=2)))</f>
        <v>10</v>
      </c>
    </row>
    <row r="12" customFormat="false" ht="15" hidden="false" customHeight="false" outlineLevel="0" collapsed="false">
      <c r="A12" s="36" t="s">
        <v>67</v>
      </c>
      <c r="B12" s="37" t="s">
        <v>68</v>
      </c>
      <c r="C12" s="38" t="s">
        <v>69</v>
      </c>
      <c r="D12" s="38" t="n">
        <v>6</v>
      </c>
      <c r="E12" s="38" t="n">
        <v>3</v>
      </c>
      <c r="F12" s="38" t="n">
        <v>5</v>
      </c>
      <c r="G12" s="38" t="n">
        <v>6</v>
      </c>
      <c r="H12" s="38" t="n">
        <v>5</v>
      </c>
      <c r="I12" s="38" t="n">
        <v>5</v>
      </c>
      <c r="J12" s="38" t="n">
        <v>3</v>
      </c>
      <c r="K12" s="38" t="n">
        <v>7</v>
      </c>
      <c r="L12" s="38" t="n">
        <v>6</v>
      </c>
      <c r="M12" s="38" t="n">
        <v>4</v>
      </c>
      <c r="N12" s="38" t="n">
        <v>8</v>
      </c>
      <c r="O12" s="38" t="n">
        <v>6</v>
      </c>
      <c r="P12" s="38" t="n">
        <v>5</v>
      </c>
      <c r="Q12" s="38" t="n">
        <v>3</v>
      </c>
      <c r="R12" s="38" t="n">
        <v>5</v>
      </c>
      <c r="S12" s="38" t="n">
        <v>6</v>
      </c>
      <c r="T12" s="38" t="n">
        <v>3</v>
      </c>
      <c r="U12" s="38" t="n">
        <v>4</v>
      </c>
      <c r="V12" s="39" t="n">
        <f aca="false">IF(COUNT(D12:U12)=18,SUM(D12:U12),IF(W12="","",W12))</f>
        <v>90</v>
      </c>
      <c r="W12" s="20"/>
      <c r="X12" s="38" t="n">
        <v>8</v>
      </c>
      <c r="Y12" s="15" t="n">
        <f aca="false">IF(X12="","",MIN(X12,Supuestos!$F$5))</f>
        <v>8</v>
      </c>
      <c r="Z12" s="39" t="n">
        <f aca="false">IF(OR(V12="",Y12=""),"",V12-Y12)</f>
        <v>82</v>
      </c>
      <c r="AA12" s="15" t="n">
        <f aca="false">IF(Z12="","",COUNTIF($Z$6:$Z$17,"&lt;"&amp;Z12)+1)</f>
        <v>11</v>
      </c>
      <c r="AB12" s="15" t="n">
        <f aca="false">IF(Z12="","",COUNTIF($Z$6:$Z$17,Z12))</f>
        <v>1</v>
      </c>
      <c r="AC12" s="40" t="n">
        <f aca="false">IF(Z12="","",ROUND(SUMPRODUCT((Supuestos!$A$5:$A$28&gt;=AA12)*(Supuestos!$A$5:$A$28&lt;AA12+AB12)*Supuestos!$B$5:$B$28)/AB12*Supuestos!$F$6,0))</f>
        <v>20</v>
      </c>
      <c r="AD12" s="15" t="n">
        <f aca="false">IF(0=1,0,IFERROR(INDEX(Jugadores!$E$5:$E$21,MATCH(A12,Jugadores!$A$5:$A$21,0)),0))</f>
        <v>1</v>
      </c>
      <c r="AE12" s="31" t="n">
        <f aca="false">IF(OR(AC12="",AD12=0),0,AC12)</f>
        <v>20</v>
      </c>
      <c r="AF12" s="15" t="n">
        <f aca="false">IF(COUNT(D12:U12)&lt;18,"",SUMPRODUCT(--((D12:U12)-$D$4:$U$4&lt;=-2)))</f>
        <v>0</v>
      </c>
      <c r="AG12" s="15" t="n">
        <f aca="false">IF(COUNT(D12:U12)&lt;18,"",SUMPRODUCT(--((D12:U12)-$D$4:$U$4=-1)))</f>
        <v>1</v>
      </c>
      <c r="AH12" s="15" t="n">
        <f aca="false">IF(COUNT(D12:U12)&lt;18,"",SUMPRODUCT(--((D12:U12)-$D$4:$U$4=0)))</f>
        <v>5</v>
      </c>
      <c r="AI12" s="15" t="n">
        <f aca="false">IF(COUNT(D12:U12)&lt;18,"",SUMPRODUCT(--((D12:U12)-$D$4:$U$4=1)))</f>
        <v>7</v>
      </c>
      <c r="AJ12" s="15" t="n">
        <f aca="false">IF(COUNT(D12:U12)&lt;18,"",SUMPRODUCT(--((D12:U12)-$D$4:$U$4&gt;=2)))</f>
        <v>5</v>
      </c>
    </row>
    <row r="13" customFormat="false" ht="15" hidden="false" customHeight="false" outlineLevel="0" collapsed="false">
      <c r="A13" s="36" t="s">
        <v>70</v>
      </c>
      <c r="B13" s="37" t="s">
        <v>71</v>
      </c>
      <c r="C13" s="38" t="s">
        <v>69</v>
      </c>
      <c r="D13" s="38" t="n">
        <v>6</v>
      </c>
      <c r="E13" s="38" t="n">
        <v>3</v>
      </c>
      <c r="F13" s="38" t="n">
        <v>4</v>
      </c>
      <c r="G13" s="38" t="n">
        <v>6</v>
      </c>
      <c r="H13" s="38" t="n">
        <v>4</v>
      </c>
      <c r="I13" s="38" t="n">
        <v>5</v>
      </c>
      <c r="J13" s="38" t="n">
        <v>2</v>
      </c>
      <c r="K13" s="38" t="n">
        <v>5</v>
      </c>
      <c r="L13" s="38" t="n">
        <v>6</v>
      </c>
      <c r="M13" s="38" t="n">
        <v>5</v>
      </c>
      <c r="N13" s="38" t="n">
        <v>7</v>
      </c>
      <c r="O13" s="38" t="n">
        <v>6</v>
      </c>
      <c r="P13" s="38" t="n">
        <v>6</v>
      </c>
      <c r="Q13" s="38" t="n">
        <v>9</v>
      </c>
      <c r="R13" s="38" t="n">
        <v>4</v>
      </c>
      <c r="S13" s="38" t="n">
        <v>7</v>
      </c>
      <c r="T13" s="38" t="n">
        <v>3</v>
      </c>
      <c r="U13" s="38" t="n">
        <v>6</v>
      </c>
      <c r="V13" s="39" t="n">
        <f aca="false">IF(COUNT(D13:U13)=18,SUM(D13:U13),IF(W13="","",W13))</f>
        <v>94</v>
      </c>
      <c r="W13" s="20"/>
      <c r="X13" s="38" t="n">
        <v>14</v>
      </c>
      <c r="Y13" s="15" t="n">
        <f aca="false">IF(X13="","",MIN(X13,Supuestos!$F$5))</f>
        <v>14</v>
      </c>
      <c r="Z13" s="39" t="n">
        <f aca="false">IF(OR(V13="",Y13=""),"",V13-Y13)</f>
        <v>80</v>
      </c>
      <c r="AA13" s="15" t="n">
        <f aca="false">IF(Z13="","",COUNTIF($Z$6:$Z$17,"&lt;"&amp;Z13)+1)</f>
        <v>10</v>
      </c>
      <c r="AB13" s="15" t="n">
        <f aca="false">IF(Z13="","",COUNTIF($Z$6:$Z$17,Z13))</f>
        <v>1</v>
      </c>
      <c r="AC13" s="40" t="n">
        <f aca="false">IF(Z13="","",ROUND(SUMPRODUCT((Supuestos!$A$5:$A$28&gt;=AA13)*(Supuestos!$A$5:$A$28&lt;AA13+AB13)*Supuestos!$B$5:$B$28)/AB13*Supuestos!$F$6,0))</f>
        <v>70</v>
      </c>
      <c r="AD13" s="15" t="n">
        <f aca="false">IF(0=1,0,IFERROR(INDEX(Jugadores!$E$5:$E$21,MATCH(A13,Jugadores!$A$5:$A$21,0)),0))</f>
        <v>1</v>
      </c>
      <c r="AE13" s="31" t="n">
        <f aca="false">IF(OR(AC13="",AD13=0),0,AC13)</f>
        <v>70</v>
      </c>
      <c r="AF13" s="15" t="n">
        <f aca="false">IF(COUNT(D13:U13)&lt;18,"",SUMPRODUCT(--((D13:U13)-$D$4:$U$4&lt;=-2)))</f>
        <v>0</v>
      </c>
      <c r="AG13" s="15" t="n">
        <f aca="false">IF(COUNT(D13:U13)&lt;18,"",SUMPRODUCT(--((D13:U13)-$D$4:$U$4=-1)))</f>
        <v>1</v>
      </c>
      <c r="AH13" s="15" t="n">
        <f aca="false">IF(COUNT(D13:U13)&lt;18,"",SUMPRODUCT(--((D13:U13)-$D$4:$U$4=0)))</f>
        <v>5</v>
      </c>
      <c r="AI13" s="15" t="n">
        <f aca="false">IF(COUNT(D13:U13)&lt;18,"",SUMPRODUCT(--((D13:U13)-$D$4:$U$4=1)))</f>
        <v>6</v>
      </c>
      <c r="AJ13" s="15" t="n">
        <f aca="false">IF(COUNT(D13:U13)&lt;18,"",SUMPRODUCT(--((D13:U13)-$D$4:$U$4&gt;=2)))</f>
        <v>6</v>
      </c>
    </row>
    <row r="14" customFormat="false" ht="15" hidden="false" customHeight="false" outlineLevel="0" collapsed="false">
      <c r="A14" s="36" t="s">
        <v>76</v>
      </c>
      <c r="B14" s="37" t="s">
        <v>77</v>
      </c>
      <c r="C14" s="38" t="s">
        <v>69</v>
      </c>
      <c r="D14" s="38" t="n">
        <v>5</v>
      </c>
      <c r="E14" s="38" t="n">
        <v>3</v>
      </c>
      <c r="F14" s="38" t="n">
        <v>6</v>
      </c>
      <c r="G14" s="38" t="n">
        <v>8</v>
      </c>
      <c r="H14" s="38" t="n">
        <v>6</v>
      </c>
      <c r="I14" s="38" t="n">
        <v>6</v>
      </c>
      <c r="J14" s="38" t="n">
        <v>6</v>
      </c>
      <c r="K14" s="38" t="n">
        <v>5</v>
      </c>
      <c r="L14" s="38" t="n">
        <v>8</v>
      </c>
      <c r="M14" s="38" t="n">
        <v>4</v>
      </c>
      <c r="N14" s="38" t="n">
        <v>6</v>
      </c>
      <c r="O14" s="38" t="n">
        <v>6</v>
      </c>
      <c r="P14" s="38" t="n">
        <v>4</v>
      </c>
      <c r="Q14" s="38" t="n">
        <v>5</v>
      </c>
      <c r="R14" s="38" t="n">
        <v>6</v>
      </c>
      <c r="S14" s="38" t="n">
        <v>6</v>
      </c>
      <c r="T14" s="38" t="n">
        <v>5</v>
      </c>
      <c r="U14" s="38" t="n">
        <v>7</v>
      </c>
      <c r="V14" s="39" t="n">
        <f aca="false">IF(COUNT(D14:U14)=18,SUM(D14:U14),IF(W14="","",W14))</f>
        <v>102</v>
      </c>
      <c r="W14" s="20"/>
      <c r="X14" s="38" t="n">
        <v>16</v>
      </c>
      <c r="Y14" s="15" t="n">
        <f aca="false">IF(X14="","",MIN(X14,Supuestos!$F$5))</f>
        <v>16</v>
      </c>
      <c r="Z14" s="39" t="n">
        <f aca="false">IF(OR(V14="",Y14=""),"",V14-Y14)</f>
        <v>86</v>
      </c>
      <c r="AA14" s="15" t="n">
        <f aca="false">IF(Z14="","",COUNTIF($Z$6:$Z$17,"&lt;"&amp;Z14)+1)</f>
        <v>12</v>
      </c>
      <c r="AB14" s="15" t="n">
        <f aca="false">IF(Z14="","",COUNTIF($Z$6:$Z$17,Z14))</f>
        <v>1</v>
      </c>
      <c r="AC14" s="40" t="n">
        <f aca="false">IF(Z14="","",ROUND(SUMPRODUCT((Supuestos!$A$5:$A$28&gt;=AA14)*(Supuestos!$A$5:$A$28&lt;AA14+AB14)*Supuestos!$B$5:$B$28)/AB14*Supuestos!$F$6,0))</f>
        <v>20</v>
      </c>
      <c r="AD14" s="15" t="n">
        <f aca="false">IF(0=1,0,IFERROR(INDEX(Jugadores!$E$5:$E$21,MATCH(A14,Jugadores!$A$5:$A$21,0)),0))</f>
        <v>1</v>
      </c>
      <c r="AE14" s="31" t="n">
        <f aca="false">IF(OR(AC14="",AD14=0),0,AC14)</f>
        <v>20</v>
      </c>
      <c r="AF14" s="15" t="n">
        <f aca="false">IF(COUNT(D14:U14)&lt;18,"",SUMPRODUCT(--((D14:U14)-$D$4:$U$4&lt;=-2)))</f>
        <v>0</v>
      </c>
      <c r="AG14" s="15" t="n">
        <f aca="false">IF(COUNT(D14:U14)&lt;18,"",SUMPRODUCT(--((D14:U14)-$D$4:$U$4=-1)))</f>
        <v>0</v>
      </c>
      <c r="AH14" s="15" t="n">
        <f aca="false">IF(COUNT(D14:U14)&lt;18,"",SUMPRODUCT(--((D14:U14)-$D$4:$U$4=0)))</f>
        <v>4</v>
      </c>
      <c r="AI14" s="15" t="n">
        <f aca="false">IF(COUNT(D14:U14)&lt;18,"",SUMPRODUCT(--((D14:U14)-$D$4:$U$4=1)))</f>
        <v>2</v>
      </c>
      <c r="AJ14" s="15" t="n">
        <f aca="false">IF(COUNT(D14:U14)&lt;18,"",SUMPRODUCT(--((D14:U14)-$D$4:$U$4&gt;=2)))</f>
        <v>12</v>
      </c>
    </row>
    <row r="15" customFormat="false" ht="15" hidden="false" customHeight="false" outlineLevel="0" collapsed="false">
      <c r="A15" s="36" t="s">
        <v>78</v>
      </c>
      <c r="B15" s="37" t="s">
        <v>79</v>
      </c>
      <c r="C15" s="38" t="s">
        <v>69</v>
      </c>
      <c r="D15" s="38" t="n">
        <v>7</v>
      </c>
      <c r="E15" s="38" t="n">
        <v>4</v>
      </c>
      <c r="F15" s="38" t="n">
        <v>5</v>
      </c>
      <c r="G15" s="38" t="n">
        <v>6</v>
      </c>
      <c r="H15" s="38" t="n">
        <v>6</v>
      </c>
      <c r="I15" s="38" t="n">
        <v>4</v>
      </c>
      <c r="J15" s="38" t="n">
        <v>4</v>
      </c>
      <c r="K15" s="38" t="n">
        <v>5</v>
      </c>
      <c r="L15" s="38" t="n">
        <v>6</v>
      </c>
      <c r="M15" s="38" t="n">
        <v>7</v>
      </c>
      <c r="N15" s="38" t="n">
        <v>7</v>
      </c>
      <c r="O15" s="38" t="n">
        <v>5</v>
      </c>
      <c r="P15" s="38" t="n">
        <v>6</v>
      </c>
      <c r="Q15" s="38" t="n">
        <v>3</v>
      </c>
      <c r="R15" s="38" t="n">
        <v>4</v>
      </c>
      <c r="S15" s="38" t="n">
        <v>6</v>
      </c>
      <c r="T15" s="38" t="n">
        <v>6</v>
      </c>
      <c r="U15" s="38" t="n">
        <v>5</v>
      </c>
      <c r="V15" s="39" t="n">
        <f aca="false">IF(COUNT(D15:U15)=18,SUM(D15:U15),IF(W15="","",W15))</f>
        <v>96</v>
      </c>
      <c r="W15" s="20"/>
      <c r="X15" s="38" t="n">
        <v>17</v>
      </c>
      <c r="Y15" s="15" t="n">
        <f aca="false">IF(X15="","",MIN(X15,Supuestos!$F$5))</f>
        <v>17</v>
      </c>
      <c r="Z15" s="39" t="n">
        <f aca="false">IF(OR(V15="",Y15=""),"",V15-Y15)</f>
        <v>79</v>
      </c>
      <c r="AA15" s="15" t="n">
        <f aca="false">IF(Z15="","",COUNTIF($Z$6:$Z$17,"&lt;"&amp;Z15)+1)</f>
        <v>8</v>
      </c>
      <c r="AB15" s="15" t="n">
        <f aca="false">IF(Z15="","",COUNTIF($Z$6:$Z$17,Z15))</f>
        <v>2</v>
      </c>
      <c r="AC15" s="40" t="n">
        <f aca="false">IF(Z15="","",ROUND(SUMPRODUCT((Supuestos!$A$5:$A$28&gt;=AA15)*(Supuestos!$A$5:$A$28&lt;AA15+AB15)*Supuestos!$B$5:$B$28)/AB15*Supuestos!$F$6,0))</f>
        <v>78</v>
      </c>
      <c r="AD15" s="15" t="n">
        <f aca="false">IF(0=1,0,IFERROR(INDEX(Jugadores!$E$5:$E$21,MATCH(A15,Jugadores!$A$5:$A$21,0)),0))</f>
        <v>1</v>
      </c>
      <c r="AE15" s="31" t="n">
        <f aca="false">IF(OR(AC15="",AD15=0),0,AC15)</f>
        <v>78</v>
      </c>
      <c r="AF15" s="15" t="n">
        <f aca="false">IF(COUNT(D15:U15)&lt;18,"",SUMPRODUCT(--((D15:U15)-$D$4:$U$4&lt;=-2)))</f>
        <v>0</v>
      </c>
      <c r="AG15" s="15" t="n">
        <f aca="false">IF(COUNT(D15:U15)&lt;18,"",SUMPRODUCT(--((D15:U15)-$D$4:$U$4=-1)))</f>
        <v>0</v>
      </c>
      <c r="AH15" s="15" t="n">
        <f aca="false">IF(COUNT(D15:U15)&lt;18,"",SUMPRODUCT(--((D15:U15)-$D$4:$U$4=0)))</f>
        <v>4</v>
      </c>
      <c r="AI15" s="15" t="n">
        <f aca="false">IF(COUNT(D15:U15)&lt;18,"",SUMPRODUCT(--((D15:U15)-$D$4:$U$4=1)))</f>
        <v>6</v>
      </c>
      <c r="AJ15" s="15" t="n">
        <f aca="false">IF(COUNT(D15:U15)&lt;18,"",SUMPRODUCT(--((D15:U15)-$D$4:$U$4&gt;=2)))</f>
        <v>8</v>
      </c>
    </row>
    <row r="16" customFormat="false" ht="15" hidden="false" customHeight="false" outlineLevel="0" collapsed="false">
      <c r="A16" s="36" t="s">
        <v>82</v>
      </c>
      <c r="B16" s="37" t="s">
        <v>83</v>
      </c>
      <c r="C16" s="38" t="s">
        <v>69</v>
      </c>
      <c r="D16" s="38" t="n">
        <v>8</v>
      </c>
      <c r="E16" s="38" t="n">
        <v>4</v>
      </c>
      <c r="F16" s="38" t="n">
        <v>5</v>
      </c>
      <c r="G16" s="38" t="n">
        <v>7</v>
      </c>
      <c r="H16" s="38" t="n">
        <v>7</v>
      </c>
      <c r="I16" s="38" t="n">
        <v>5</v>
      </c>
      <c r="J16" s="38" t="n">
        <v>4</v>
      </c>
      <c r="K16" s="38" t="n">
        <v>4</v>
      </c>
      <c r="L16" s="38" t="n">
        <v>4</v>
      </c>
      <c r="M16" s="38" t="n">
        <v>6</v>
      </c>
      <c r="N16" s="38" t="n">
        <v>6</v>
      </c>
      <c r="O16" s="38" t="n">
        <v>4</v>
      </c>
      <c r="P16" s="38" t="n">
        <v>5</v>
      </c>
      <c r="Q16" s="38" t="n">
        <v>5</v>
      </c>
      <c r="R16" s="38" t="n">
        <v>4</v>
      </c>
      <c r="S16" s="38" t="n">
        <v>4</v>
      </c>
      <c r="T16" s="38" t="n">
        <v>4</v>
      </c>
      <c r="U16" s="38" t="n">
        <v>6</v>
      </c>
      <c r="V16" s="39" t="n">
        <f aca="false">IF(COUNT(D16:U16)=18,SUM(D16:U16),IF(W16="","",W16))</f>
        <v>92</v>
      </c>
      <c r="W16" s="20"/>
      <c r="X16" s="38" t="n">
        <v>15</v>
      </c>
      <c r="Y16" s="15" t="n">
        <f aca="false">IF(X16="","",MIN(X16,Supuestos!$F$5))</f>
        <v>15</v>
      </c>
      <c r="Z16" s="39" t="n">
        <f aca="false">IF(OR(V16="",Y16=""),"",V16-Y16)</f>
        <v>77</v>
      </c>
      <c r="AA16" s="15" t="n">
        <f aca="false">IF(Z16="","",COUNTIF($Z$6:$Z$17,"&lt;"&amp;Z16)+1)</f>
        <v>7</v>
      </c>
      <c r="AB16" s="15" t="n">
        <f aca="false">IF(Z16="","",COUNTIF($Z$6:$Z$17,Z16))</f>
        <v>1</v>
      </c>
      <c r="AC16" s="40" t="n">
        <f aca="false">IF(Z16="","",ROUND(SUMPRODUCT((Supuestos!$A$5:$A$28&gt;=AA16)*(Supuestos!$A$5:$A$28&lt;AA16+AB16)*Supuestos!$B$5:$B$28)/AB16*Supuestos!$F$6,0))</f>
        <v>90</v>
      </c>
      <c r="AD16" s="15" t="n">
        <f aca="false">IF(0=1,0,IFERROR(INDEX(Jugadores!$E$5:$E$21,MATCH(A16,Jugadores!$A$5:$A$21,0)),0))</f>
        <v>1</v>
      </c>
      <c r="AE16" s="31" t="n">
        <f aca="false">IF(OR(AC16="",AD16=0),0,AC16)</f>
        <v>90</v>
      </c>
      <c r="AF16" s="15" t="n">
        <f aca="false">IF(COUNT(D16:U16)&lt;18,"",SUMPRODUCT(--((D16:U16)-$D$4:$U$4&lt;=-2)))</f>
        <v>0</v>
      </c>
      <c r="AG16" s="15" t="n">
        <f aca="false">IF(COUNT(D16:U16)&lt;18,"",SUMPRODUCT(--((D16:U16)-$D$4:$U$4=-1)))</f>
        <v>0</v>
      </c>
      <c r="AH16" s="15" t="n">
        <f aca="false">IF(COUNT(D16:U16)&lt;18,"",SUMPRODUCT(--((D16:U16)-$D$4:$U$4=0)))</f>
        <v>5</v>
      </c>
      <c r="AI16" s="15" t="n">
        <f aca="false">IF(COUNT(D16:U16)&lt;18,"",SUMPRODUCT(--((D16:U16)-$D$4:$U$4=1)))</f>
        <v>8</v>
      </c>
      <c r="AJ16" s="15" t="n">
        <f aca="false">IF(COUNT(D16:U16)&lt;18,"",SUMPRODUCT(--((D16:U16)-$D$4:$U$4&gt;=2)))</f>
        <v>5</v>
      </c>
    </row>
    <row r="17" customFormat="false" ht="15" hidden="false" customHeight="false" outlineLevel="0" collapsed="false">
      <c r="A17" s="36" t="s">
        <v>84</v>
      </c>
      <c r="B17" s="37" t="s">
        <v>85</v>
      </c>
      <c r="C17" s="38" t="s">
        <v>69</v>
      </c>
      <c r="D17" s="38" t="n">
        <v>6</v>
      </c>
      <c r="E17" s="38" t="n">
        <v>8</v>
      </c>
      <c r="F17" s="38" t="n">
        <v>5</v>
      </c>
      <c r="G17" s="38" t="n">
        <v>7</v>
      </c>
      <c r="H17" s="38" t="n">
        <v>6</v>
      </c>
      <c r="I17" s="38" t="n">
        <v>5</v>
      </c>
      <c r="J17" s="38" t="n">
        <v>4</v>
      </c>
      <c r="K17" s="38" t="n">
        <v>5</v>
      </c>
      <c r="L17" s="38" t="n">
        <v>4</v>
      </c>
      <c r="M17" s="38" t="n">
        <v>7</v>
      </c>
      <c r="N17" s="38" t="n">
        <v>7</v>
      </c>
      <c r="O17" s="38" t="n">
        <v>6</v>
      </c>
      <c r="P17" s="38" t="n">
        <v>3</v>
      </c>
      <c r="Q17" s="38" t="n">
        <v>5</v>
      </c>
      <c r="R17" s="38" t="n">
        <v>5</v>
      </c>
      <c r="S17" s="38" t="n">
        <v>4</v>
      </c>
      <c r="T17" s="38" t="n">
        <v>4</v>
      </c>
      <c r="U17" s="38" t="n">
        <v>6</v>
      </c>
      <c r="V17" s="39" t="n">
        <f aca="false">IF(COUNT(D17:U17)=18,SUM(D17:U17),IF(W17="","",W17))</f>
        <v>97</v>
      </c>
      <c r="W17" s="20"/>
      <c r="X17" s="38" t="n">
        <v>25</v>
      </c>
      <c r="Y17" s="15" t="n">
        <f aca="false">IF(X17="","",MIN(X17,Supuestos!$F$5))</f>
        <v>25</v>
      </c>
      <c r="Z17" s="39" t="n">
        <f aca="false">IF(OR(V17="",Y17=""),"",V17-Y17)</f>
        <v>72</v>
      </c>
      <c r="AA17" s="15" t="n">
        <f aca="false">IF(Z17="","",COUNTIF($Z$6:$Z$17,"&lt;"&amp;Z17)+1)</f>
        <v>2</v>
      </c>
      <c r="AB17" s="15" t="n">
        <f aca="false">IF(Z17="","",COUNTIF($Z$6:$Z$17,Z17))</f>
        <v>1</v>
      </c>
      <c r="AC17" s="40" t="n">
        <f aca="false">IF(Z17="","",ROUND(SUMPRODUCT((Supuestos!$A$5:$A$28&gt;=AA17)*(Supuestos!$A$5:$A$28&lt;AA17+AB17)*Supuestos!$B$5:$B$28)/AB17*Supuestos!$F$6,0))</f>
        <v>300</v>
      </c>
      <c r="AD17" s="15" t="n">
        <f aca="false">IF(1=1,0,IFERROR(INDEX(Jugadores!$E$5:$E$21,MATCH(A17,Jugadores!$A$5:$A$21,0)),0))</f>
        <v>0</v>
      </c>
      <c r="AE17" s="31" t="n">
        <f aca="false">IF(OR(AC17="",AD17=0),0,AC17)</f>
        <v>0</v>
      </c>
      <c r="AF17" s="15" t="n">
        <f aca="false">IF(COUNT(D17:U17)&lt;18,"",SUMPRODUCT(--((D17:U17)-$D$4:$U$4&lt;=-2)))</f>
        <v>0</v>
      </c>
      <c r="AG17" s="15" t="n">
        <f aca="false">IF(COUNT(D17:U17)&lt;18,"",SUMPRODUCT(--((D17:U17)-$D$4:$U$4=-1)))</f>
        <v>1</v>
      </c>
      <c r="AH17" s="15" t="n">
        <f aca="false">IF(COUNT(D17:U17)&lt;18,"",SUMPRODUCT(--((D17:U17)-$D$4:$U$4=0)))</f>
        <v>2</v>
      </c>
      <c r="AI17" s="15" t="n">
        <f aca="false">IF(COUNT(D17:U17)&lt;18,"",SUMPRODUCT(--((D17:U17)-$D$4:$U$4=1)))</f>
        <v>8</v>
      </c>
      <c r="AJ17" s="15" t="n">
        <f aca="false">IF(COUNT(D17:U17)&lt;18,"",SUMPRODUCT(--((D17:U17)-$D$4:$U$4&gt;=2)))</f>
        <v>7</v>
      </c>
    </row>
    <row r="19" customFormat="false" ht="15" hidden="false" customHeight="false" outlineLevel="0" collapsed="false">
      <c r="B19" s="3" t="s">
        <v>152</v>
      </c>
    </row>
    <row r="20" customFormat="false" ht="15" hidden="false" customHeight="false" outlineLevel="0" collapsed="false">
      <c r="B20" s="4" t="s">
        <v>153</v>
      </c>
      <c r="C20" s="21" t="n">
        <f aca="false">COUNT(V6:V17)</f>
        <v>12</v>
      </c>
    </row>
    <row r="21" customFormat="false" ht="15" hidden="false" customHeight="false" outlineLevel="0" collapsed="false">
      <c r="B21" s="4" t="s">
        <v>154</v>
      </c>
      <c r="C21" s="42" t="n">
        <f aca="false">IFERROR(AVERAGE(V6:V17),"")</f>
        <v>93.8333333333333</v>
      </c>
    </row>
    <row r="22" customFormat="false" ht="15" hidden="false" customHeight="false" outlineLevel="0" collapsed="false">
      <c r="B22" s="4" t="s">
        <v>155</v>
      </c>
      <c r="C22" s="42" t="n">
        <f aca="false">IFERROR(AVERAGE(Z6:Z17),"")</f>
        <v>76.8333333333333</v>
      </c>
    </row>
    <row r="23" customFormat="false" ht="15" hidden="false" customHeight="false" outlineLevel="0" collapsed="false">
      <c r="B23" s="4" t="s">
        <v>156</v>
      </c>
      <c r="C23" s="21" t="n">
        <f aca="false">IFERROR(MIN(Z6:Z17),"")</f>
        <v>68</v>
      </c>
    </row>
    <row r="24" customFormat="false" ht="15" hidden="false" customHeight="false" outlineLevel="0" collapsed="false">
      <c r="B24" s="4" t="s">
        <v>157</v>
      </c>
      <c r="C24" s="21" t="n">
        <f aca="false">IFERROR(MIN(V6:V17),"")</f>
        <v>80</v>
      </c>
    </row>
    <row r="25" customFormat="false" ht="15" hidden="false" customHeight="false" outlineLevel="0" collapsed="false">
      <c r="B25" s="4" t="s">
        <v>158</v>
      </c>
      <c r="C25" s="21" t="n">
        <f aca="false">SUM(AF6:AF17)</f>
        <v>0</v>
      </c>
    </row>
    <row r="26" customFormat="false" ht="15" hidden="false" customHeight="false" outlineLevel="0" collapsed="false">
      <c r="B26" s="4" t="s">
        <v>159</v>
      </c>
      <c r="C26" s="21" t="n">
        <f aca="false">SUM(AG6:AG17)</f>
        <v>7</v>
      </c>
    </row>
    <row r="27" customFormat="false" ht="15" hidden="false" customHeight="false" outlineLevel="0" collapsed="false">
      <c r="B27" s="4" t="s">
        <v>160</v>
      </c>
      <c r="C27" s="21" t="n">
        <f aca="false">SUM(AH6:AH17)</f>
        <v>53</v>
      </c>
    </row>
    <row r="28" customFormat="false" ht="15" hidden="false" customHeight="false" outlineLevel="0" collapsed="false">
      <c r="B28" s="4" t="s">
        <v>161</v>
      </c>
      <c r="C28" s="21" t="n">
        <f aca="false">SUM(AI6:AI17)</f>
        <v>79</v>
      </c>
    </row>
    <row r="29" customFormat="false" ht="15" hidden="false" customHeight="false" outlineLevel="0" collapsed="false">
      <c r="B29" s="4" t="s">
        <v>162</v>
      </c>
      <c r="C29" s="21" t="n">
        <f aca="false">SUM(AJ6:AJ17)</f>
        <v>77</v>
      </c>
    </row>
  </sheetData>
  <conditionalFormatting sqref="D6:U17">
    <cfRule type="expression" priority="2" aboveAverage="0" equalAverage="0" bottom="0" percent="0" rank="0" text="" dxfId="0">
      <formula>AND(ISNUMBER(D6),D6-D$4&lt;=-2)</formula>
    </cfRule>
    <cfRule type="expression" priority="3" aboveAverage="0" equalAverage="0" bottom="0" percent="0" rank="0" text="" dxfId="1">
      <formula>AND(ISNUMBER(D6),D6-D$4=-1)</formula>
    </cfRule>
    <cfRule type="expression" priority="4" aboveAverage="0" equalAverage="0" bottom="0" percent="0" rank="0" text="" dxfId="2">
      <formula>AND(ISNUMBER(D6),D6-D$4=1)</formula>
    </cfRule>
    <cfRule type="expression" priority="5" aboveAverage="0" equalAverage="0" bottom="0" percent="0" rank="0" text="" dxfId="3">
      <formula>AND(ISNUMBER(D6),D6-D$4&gt;=2)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6" min="3" style="0" width="14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10" min="9" style="0" width="9"/>
    <col collapsed="false" customWidth="true" hidden="false" outlineLevel="0" max="13" min="11" style="0" width="10"/>
  </cols>
  <sheetData>
    <row r="1" customFormat="false" ht="17.35" hidden="false" customHeight="false" outlineLevel="0" collapsed="false">
      <c r="A1" s="1" t="s">
        <v>185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8" t="s">
        <v>187</v>
      </c>
      <c r="B4" s="8" t="s">
        <v>188</v>
      </c>
      <c r="C4" s="8" t="s">
        <v>189</v>
      </c>
      <c r="D4" s="8" t="s">
        <v>190</v>
      </c>
      <c r="E4" s="8" t="s">
        <v>191</v>
      </c>
      <c r="F4" s="8" t="s">
        <v>192</v>
      </c>
      <c r="G4" s="8" t="s">
        <v>193</v>
      </c>
      <c r="H4" s="8" t="s">
        <v>194</v>
      </c>
      <c r="I4" s="8" t="s">
        <v>195</v>
      </c>
      <c r="J4" s="8" t="s">
        <v>196</v>
      </c>
      <c r="K4" s="8" t="s">
        <v>197</v>
      </c>
      <c r="L4" s="8" t="s">
        <v>198</v>
      </c>
      <c r="M4" s="8" t="s">
        <v>199</v>
      </c>
    </row>
    <row r="5" customFormat="false" ht="15" hidden="false" customHeight="false" outlineLevel="0" collapsed="false">
      <c r="A5" s="38" t="n">
        <v>1</v>
      </c>
      <c r="B5" s="38" t="s">
        <v>200</v>
      </c>
      <c r="C5" s="38" t="s">
        <v>63</v>
      </c>
      <c r="D5" s="38" t="s">
        <v>65</v>
      </c>
      <c r="E5" s="38" t="s">
        <v>80</v>
      </c>
      <c r="F5" s="38" t="s">
        <v>84</v>
      </c>
      <c r="G5" s="38" t="s">
        <v>201</v>
      </c>
      <c r="H5" s="38" t="n">
        <v>8</v>
      </c>
      <c r="I5" s="43" t="n">
        <f aca="false">IF(G5="g",Supuestos!$F$9,IF(G5="empate",Supuestos!$F$10,0))</f>
        <v>1</v>
      </c>
      <c r="J5" s="43" t="n">
        <f aca="false">IF(G5="r",Supuestos!$F$9,IF(G5="empate",Supuestos!$F$10,0))</f>
        <v>0</v>
      </c>
      <c r="K5" s="44" t="n">
        <f aca="false">IF(G5="g",H5,IF(G5="r",-H5,0))</f>
        <v>8</v>
      </c>
      <c r="L5" s="43" t="n">
        <f aca="false">I5*IF(B5="fb",Supuestos!$F$11,Supuestos!$F$12)</f>
        <v>0.5</v>
      </c>
      <c r="M5" s="43" t="n">
        <f aca="false">J5*IF(B5="fb",Supuestos!$F$11,Supuestos!$F$12)</f>
        <v>0</v>
      </c>
    </row>
    <row r="6" customFormat="false" ht="15" hidden="false" customHeight="false" outlineLevel="0" collapsed="false">
      <c r="A6" s="38" t="n">
        <v>1</v>
      </c>
      <c r="B6" s="38" t="s">
        <v>200</v>
      </c>
      <c r="C6" s="38" t="s">
        <v>59</v>
      </c>
      <c r="D6" s="38" t="s">
        <v>61</v>
      </c>
      <c r="E6" s="38" t="s">
        <v>78</v>
      </c>
      <c r="F6" s="38" t="s">
        <v>76</v>
      </c>
      <c r="G6" s="38" t="s">
        <v>202</v>
      </c>
      <c r="H6" s="38" t="n">
        <v>7</v>
      </c>
      <c r="I6" s="43" t="n">
        <f aca="false">IF(G6="g",Supuestos!$F$9,IF(G6="empate",Supuestos!$F$10,0))</f>
        <v>0</v>
      </c>
      <c r="J6" s="43" t="n">
        <f aca="false">IF(G6="r",Supuestos!$F$9,IF(G6="empate",Supuestos!$F$10,0))</f>
        <v>1</v>
      </c>
      <c r="K6" s="44" t="n">
        <f aca="false">IF(G6="g",H6,IF(G6="r",-H6,0))</f>
        <v>-7</v>
      </c>
      <c r="L6" s="43" t="n">
        <f aca="false">I6*IF(B6="fb",Supuestos!$F$11,Supuestos!$F$12)</f>
        <v>0</v>
      </c>
      <c r="M6" s="43" t="n">
        <f aca="false">J6*IF(B6="fb",Supuestos!$F$11,Supuestos!$F$12)</f>
        <v>0.5</v>
      </c>
    </row>
    <row r="7" customFormat="false" ht="15" hidden="false" customHeight="false" outlineLevel="0" collapsed="false">
      <c r="A7" s="38" t="n">
        <v>1</v>
      </c>
      <c r="B7" s="38" t="s">
        <v>200</v>
      </c>
      <c r="C7" s="38" t="s">
        <v>55</v>
      </c>
      <c r="D7" s="38" t="s">
        <v>57</v>
      </c>
      <c r="E7" s="38" t="s">
        <v>72</v>
      </c>
      <c r="F7" s="38" t="s">
        <v>74</v>
      </c>
      <c r="G7" s="38" t="s">
        <v>202</v>
      </c>
      <c r="H7" s="38" t="n">
        <v>1</v>
      </c>
      <c r="I7" s="43" t="n">
        <f aca="false">IF(G7="g",Supuestos!$F$9,IF(G7="empate",Supuestos!$F$10,0))</f>
        <v>0</v>
      </c>
      <c r="J7" s="43" t="n">
        <f aca="false">IF(G7="r",Supuestos!$F$9,IF(G7="empate",Supuestos!$F$10,0))</f>
        <v>1</v>
      </c>
      <c r="K7" s="44" t="n">
        <f aca="false">IF(G7="g",H7,IF(G7="r",-H7,0))</f>
        <v>-1</v>
      </c>
      <c r="L7" s="43" t="n">
        <f aca="false">I7*IF(B7="fb",Supuestos!$F$11,Supuestos!$F$12)</f>
        <v>0</v>
      </c>
      <c r="M7" s="43" t="n">
        <f aca="false">J7*IF(B7="fb",Supuestos!$F$11,Supuestos!$F$12)</f>
        <v>0.5</v>
      </c>
    </row>
    <row r="8" customFormat="false" ht="15" hidden="false" customHeight="false" outlineLevel="0" collapsed="false">
      <c r="A8" s="38" t="n">
        <v>1</v>
      </c>
      <c r="B8" s="38" t="s">
        <v>200</v>
      </c>
      <c r="C8" s="38" t="s">
        <v>53</v>
      </c>
      <c r="D8" s="38" t="s">
        <v>50</v>
      </c>
      <c r="E8" s="38" t="s">
        <v>70</v>
      </c>
      <c r="F8" s="38" t="s">
        <v>67</v>
      </c>
      <c r="G8" s="38" t="s">
        <v>202</v>
      </c>
      <c r="H8" s="38" t="n">
        <v>2</v>
      </c>
      <c r="I8" s="43" t="n">
        <f aca="false">IF(G8="g",Supuestos!$F$9,IF(G8="empate",Supuestos!$F$10,0))</f>
        <v>0</v>
      </c>
      <c r="J8" s="43" t="n">
        <f aca="false">IF(G8="r",Supuestos!$F$9,IF(G8="empate",Supuestos!$F$10,0))</f>
        <v>1</v>
      </c>
      <c r="K8" s="44" t="n">
        <f aca="false">IF(G8="g",H8,IF(G8="r",-H8,0))</f>
        <v>-2</v>
      </c>
      <c r="L8" s="43" t="n">
        <f aca="false">I8*IF(B8="fb",Supuestos!$F$11,Supuestos!$F$12)</f>
        <v>0</v>
      </c>
      <c r="M8" s="43" t="n">
        <f aca="false">J8*IF(B8="fb",Supuestos!$F$11,Supuestos!$F$12)</f>
        <v>0.5</v>
      </c>
    </row>
    <row r="9" customFormat="false" ht="15" hidden="false" customHeight="false" outlineLevel="0" collapsed="false">
      <c r="A9" s="38" t="n">
        <v>2</v>
      </c>
      <c r="B9" s="38" t="s">
        <v>200</v>
      </c>
      <c r="C9" s="38" t="s">
        <v>63</v>
      </c>
      <c r="D9" s="38"/>
      <c r="E9" s="38" t="s">
        <v>74</v>
      </c>
      <c r="F9" s="38" t="s">
        <v>82</v>
      </c>
      <c r="G9" s="38" t="s">
        <v>201</v>
      </c>
      <c r="H9" s="38" t="n">
        <v>1</v>
      </c>
      <c r="I9" s="43" t="n">
        <f aca="false">IF(G9="g",Supuestos!$F$9,IF(G9="empate",Supuestos!$F$10,0))</f>
        <v>1</v>
      </c>
      <c r="J9" s="43" t="n">
        <f aca="false">IF(G9="r",Supuestos!$F$9,IF(G9="empate",Supuestos!$F$10,0))</f>
        <v>0</v>
      </c>
      <c r="K9" s="44" t="n">
        <f aca="false">IF(G9="g",H9,IF(G9="r",-H9,0))</f>
        <v>1</v>
      </c>
      <c r="L9" s="43" t="n">
        <f aca="false">I9*IF(B9="fb",Supuestos!$F$11,Supuestos!$F$12)</f>
        <v>0.5</v>
      </c>
      <c r="M9" s="43" t="n">
        <f aca="false">J9*IF(B9="fb",Supuestos!$F$11,Supuestos!$F$12)</f>
        <v>0</v>
      </c>
    </row>
    <row r="10" customFormat="false" ht="15" hidden="false" customHeight="false" outlineLevel="0" collapsed="false">
      <c r="A10" s="38" t="n">
        <v>2</v>
      </c>
      <c r="B10" s="38" t="s">
        <v>200</v>
      </c>
      <c r="C10" s="38" t="s">
        <v>65</v>
      </c>
      <c r="D10" s="38"/>
      <c r="E10" s="38" t="s">
        <v>84</v>
      </c>
      <c r="F10" s="38" t="s">
        <v>78</v>
      </c>
      <c r="G10" s="38" t="s">
        <v>201</v>
      </c>
      <c r="H10" s="38" t="n">
        <v>4</v>
      </c>
      <c r="I10" s="43" t="n">
        <f aca="false">IF(G10="g",Supuestos!$F$9,IF(G10="empate",Supuestos!$F$10,0))</f>
        <v>1</v>
      </c>
      <c r="J10" s="43" t="n">
        <f aca="false">IF(G10="r",Supuestos!$F$9,IF(G10="empate",Supuestos!$F$10,0))</f>
        <v>0</v>
      </c>
      <c r="K10" s="44" t="n">
        <f aca="false">IF(G10="g",H10,IF(G10="r",-H10,0))</f>
        <v>4</v>
      </c>
      <c r="L10" s="43" t="n">
        <f aca="false">I10*IF(B10="fb",Supuestos!$F$11,Supuestos!$F$12)</f>
        <v>0.5</v>
      </c>
      <c r="M10" s="43" t="n">
        <f aca="false">J10*IF(B10="fb",Supuestos!$F$11,Supuestos!$F$12)</f>
        <v>0</v>
      </c>
    </row>
    <row r="11" customFormat="false" ht="15" hidden="false" customHeight="false" outlineLevel="0" collapsed="false">
      <c r="A11" s="38" t="n">
        <v>2</v>
      </c>
      <c r="B11" s="38" t="s">
        <v>200</v>
      </c>
      <c r="C11" s="38" t="s">
        <v>59</v>
      </c>
      <c r="D11" s="38"/>
      <c r="E11" s="38" t="s">
        <v>70</v>
      </c>
      <c r="F11" s="38" t="s">
        <v>72</v>
      </c>
      <c r="G11" s="38" t="s">
        <v>202</v>
      </c>
      <c r="H11" s="38" t="n">
        <v>5</v>
      </c>
      <c r="I11" s="43" t="n">
        <f aca="false">IF(G11="g",Supuestos!$F$9,IF(G11="empate",Supuestos!$F$10,0))</f>
        <v>0</v>
      </c>
      <c r="J11" s="43" t="n">
        <f aca="false">IF(G11="r",Supuestos!$F$9,IF(G11="empate",Supuestos!$F$10,0))</f>
        <v>1</v>
      </c>
      <c r="K11" s="44" t="n">
        <f aca="false">IF(G11="g",H11,IF(G11="r",-H11,0))</f>
        <v>-5</v>
      </c>
      <c r="L11" s="43" t="n">
        <f aca="false">I11*IF(B11="fb",Supuestos!$F$11,Supuestos!$F$12)</f>
        <v>0</v>
      </c>
      <c r="M11" s="43" t="n">
        <f aca="false">J11*IF(B11="fb",Supuestos!$F$11,Supuestos!$F$12)</f>
        <v>0.5</v>
      </c>
    </row>
    <row r="12" customFormat="false" ht="15" hidden="false" customHeight="false" outlineLevel="0" collapsed="false">
      <c r="A12" s="38" t="n">
        <v>2</v>
      </c>
      <c r="B12" s="38" t="s">
        <v>200</v>
      </c>
      <c r="C12" s="38" t="s">
        <v>53</v>
      </c>
      <c r="D12" s="38" t="s">
        <v>61</v>
      </c>
      <c r="E12" s="38" t="s">
        <v>67</v>
      </c>
      <c r="F12" s="38" t="s">
        <v>76</v>
      </c>
      <c r="G12" s="38" t="s">
        <v>202</v>
      </c>
      <c r="H12" s="38" t="n">
        <v>2</v>
      </c>
      <c r="I12" s="43" t="n">
        <f aca="false">IF(G12="g",Supuestos!$F$9,IF(G12="empate",Supuestos!$F$10,0))</f>
        <v>0</v>
      </c>
      <c r="J12" s="43" t="n">
        <f aca="false">IF(G12="r",Supuestos!$F$9,IF(G12="empate",Supuestos!$F$10,0))</f>
        <v>1</v>
      </c>
      <c r="K12" s="44" t="n">
        <f aca="false">IF(G12="g",H12,IF(G12="r",-H12,0))</f>
        <v>-2</v>
      </c>
      <c r="L12" s="43" t="n">
        <f aca="false">I12*IF(B12="fb",Supuestos!$F$11,Supuestos!$F$12)</f>
        <v>0</v>
      </c>
      <c r="M12" s="43" t="n">
        <f aca="false">J12*IF(B12="fb",Supuestos!$F$11,Supuestos!$F$12)</f>
        <v>0.5</v>
      </c>
    </row>
    <row r="13" customFormat="false" ht="15" hidden="false" customHeight="false" outlineLevel="0" collapsed="false">
      <c r="A13" s="38" t="n">
        <v>3</v>
      </c>
      <c r="B13" s="38" t="s">
        <v>203</v>
      </c>
      <c r="C13" s="38" t="s">
        <v>61</v>
      </c>
      <c r="D13" s="38"/>
      <c r="E13" s="38" t="s">
        <v>70</v>
      </c>
      <c r="F13" s="38"/>
      <c r="G13" s="38" t="s">
        <v>202</v>
      </c>
      <c r="H13" s="38" t="n">
        <v>2</v>
      </c>
      <c r="I13" s="43" t="n">
        <f aca="false">IF(G13="g",Supuestos!$F$9,IF(G13="empate",Supuestos!$F$10,0))</f>
        <v>0</v>
      </c>
      <c r="J13" s="43" t="n">
        <f aca="false">IF(G13="r",Supuestos!$F$9,IF(G13="empate",Supuestos!$F$10,0))</f>
        <v>1</v>
      </c>
      <c r="K13" s="44" t="n">
        <f aca="false">IF(G13="g",H13,IF(G13="r",-H13,0))</f>
        <v>-2</v>
      </c>
      <c r="L13" s="43" t="n">
        <f aca="false">I13*IF(B13="fb",Supuestos!$F$11,Supuestos!$F$12)</f>
        <v>0</v>
      </c>
      <c r="M13" s="43" t="n">
        <f aca="false">J13*IF(B13="fb",Supuestos!$F$11,Supuestos!$F$12)</f>
        <v>1</v>
      </c>
    </row>
    <row r="14" customFormat="false" ht="15" hidden="false" customHeight="false" outlineLevel="0" collapsed="false">
      <c r="A14" s="38" t="n">
        <v>3</v>
      </c>
      <c r="B14" s="38" t="s">
        <v>203</v>
      </c>
      <c r="C14" s="38" t="s">
        <v>65</v>
      </c>
      <c r="D14" s="38"/>
      <c r="E14" s="38" t="s">
        <v>82</v>
      </c>
      <c r="F14" s="38"/>
      <c r="G14" s="38" t="s">
        <v>202</v>
      </c>
      <c r="H14" s="38" t="n">
        <v>4</v>
      </c>
      <c r="I14" s="43" t="n">
        <f aca="false">IF(G14="g",Supuestos!$F$9,IF(G14="empate",Supuestos!$F$10,0))</f>
        <v>0</v>
      </c>
      <c r="J14" s="43" t="n">
        <f aca="false">IF(G14="r",Supuestos!$F$9,IF(G14="empate",Supuestos!$F$10,0))</f>
        <v>1</v>
      </c>
      <c r="K14" s="44" t="n">
        <f aca="false">IF(G14="g",H14,IF(G14="r",-H14,0))</f>
        <v>-4</v>
      </c>
      <c r="L14" s="43" t="n">
        <f aca="false">I14*IF(B14="fb",Supuestos!$F$11,Supuestos!$F$12)</f>
        <v>0</v>
      </c>
      <c r="M14" s="43" t="n">
        <f aca="false">J14*IF(B14="fb",Supuestos!$F$11,Supuestos!$F$12)</f>
        <v>1</v>
      </c>
    </row>
    <row r="15" customFormat="false" ht="15" hidden="false" customHeight="false" outlineLevel="0" collapsed="false">
      <c r="A15" s="38" t="n">
        <v>3</v>
      </c>
      <c r="B15" s="38" t="s">
        <v>203</v>
      </c>
      <c r="C15" s="38" t="s">
        <v>84</v>
      </c>
      <c r="D15" s="38"/>
      <c r="E15" s="38" t="s">
        <v>78</v>
      </c>
      <c r="F15" s="38"/>
      <c r="G15" s="38" t="s">
        <v>202</v>
      </c>
      <c r="H15" s="38" t="n">
        <v>5</v>
      </c>
      <c r="I15" s="43" t="n">
        <f aca="false">IF(G15="g",Supuestos!$F$9,IF(G15="empate",Supuestos!$F$10,0))</f>
        <v>0</v>
      </c>
      <c r="J15" s="43" t="n">
        <f aca="false">IF(G15="r",Supuestos!$F$9,IF(G15="empate",Supuestos!$F$10,0))</f>
        <v>1</v>
      </c>
      <c r="K15" s="44" t="n">
        <f aca="false">IF(G15="g",H15,IF(G15="r",-H15,0))</f>
        <v>-5</v>
      </c>
      <c r="L15" s="43" t="n">
        <f aca="false">I15*IF(B15="fb",Supuestos!$F$11,Supuestos!$F$12)</f>
        <v>0</v>
      </c>
      <c r="M15" s="43" t="n">
        <f aca="false">J15*IF(B15="fb",Supuestos!$F$11,Supuestos!$F$12)</f>
        <v>1</v>
      </c>
    </row>
    <row r="16" customFormat="false" ht="15" hidden="false" customHeight="false" outlineLevel="0" collapsed="false">
      <c r="A16" s="38" t="n">
        <v>3</v>
      </c>
      <c r="B16" s="38" t="s">
        <v>203</v>
      </c>
      <c r="C16" s="38" t="s">
        <v>63</v>
      </c>
      <c r="D16" s="38"/>
      <c r="E16" s="38" t="s">
        <v>76</v>
      </c>
      <c r="F16" s="38"/>
      <c r="G16" s="38" t="s">
        <v>201</v>
      </c>
      <c r="H16" s="38" t="n">
        <v>2</v>
      </c>
      <c r="I16" s="43" t="n">
        <f aca="false">IF(G16="g",Supuestos!$F$9,IF(G16="empate",Supuestos!$F$10,0))</f>
        <v>1</v>
      </c>
      <c r="J16" s="43" t="n">
        <f aca="false">IF(G16="r",Supuestos!$F$9,IF(G16="empate",Supuestos!$F$10,0))</f>
        <v>0</v>
      </c>
      <c r="K16" s="44" t="n">
        <f aca="false">IF(G16="g",H16,IF(G16="r",-H16,0))</f>
        <v>2</v>
      </c>
      <c r="L16" s="43" t="n">
        <f aca="false">I16*IF(B16="fb",Supuestos!$F$11,Supuestos!$F$12)</f>
        <v>1</v>
      </c>
      <c r="M16" s="43" t="n">
        <f aca="false">J16*IF(B16="fb",Supuestos!$F$11,Supuestos!$F$12)</f>
        <v>0</v>
      </c>
    </row>
    <row r="17" customFormat="false" ht="15" hidden="false" customHeight="false" outlineLevel="0" collapsed="false">
      <c r="A17" s="38" t="n">
        <v>3</v>
      </c>
      <c r="B17" s="38" t="s">
        <v>203</v>
      </c>
      <c r="C17" s="38" t="s">
        <v>57</v>
      </c>
      <c r="D17" s="38"/>
      <c r="E17" s="38" t="s">
        <v>72</v>
      </c>
      <c r="F17" s="38"/>
      <c r="G17" s="38" t="s">
        <v>201</v>
      </c>
      <c r="H17" s="38" t="n">
        <v>1</v>
      </c>
      <c r="I17" s="43" t="n">
        <f aca="false">IF(G17="g",Supuestos!$F$9,IF(G17="empate",Supuestos!$F$10,0))</f>
        <v>1</v>
      </c>
      <c r="J17" s="43" t="n">
        <f aca="false">IF(G17="r",Supuestos!$F$9,IF(G17="empate",Supuestos!$F$10,0))</f>
        <v>0</v>
      </c>
      <c r="K17" s="44" t="n">
        <f aca="false">IF(G17="g",H17,IF(G17="r",-H17,0))</f>
        <v>1</v>
      </c>
      <c r="L17" s="43" t="n">
        <f aca="false">I17*IF(B17="fb",Supuestos!$F$11,Supuestos!$F$12)</f>
        <v>1</v>
      </c>
      <c r="M17" s="43" t="n">
        <f aca="false">J17*IF(B17="fb",Supuestos!$F$11,Supuestos!$F$12)</f>
        <v>0</v>
      </c>
    </row>
    <row r="18" customFormat="false" ht="15" hidden="false" customHeight="false" outlineLevel="0" collapsed="false">
      <c r="A18" s="38" t="n">
        <v>3</v>
      </c>
      <c r="B18" s="38" t="s">
        <v>203</v>
      </c>
      <c r="C18" s="38" t="s">
        <v>53</v>
      </c>
      <c r="D18" s="38"/>
      <c r="E18" s="38" t="s">
        <v>169</v>
      </c>
      <c r="F18" s="38"/>
      <c r="G18" s="38" t="s">
        <v>201</v>
      </c>
      <c r="H18" s="38" t="n">
        <v>2</v>
      </c>
      <c r="I18" s="43" t="n">
        <f aca="false">IF(G18="g",Supuestos!$F$9,IF(G18="empate",Supuestos!$F$10,0))</f>
        <v>1</v>
      </c>
      <c r="J18" s="43" t="n">
        <f aca="false">IF(G18="r",Supuestos!$F$9,IF(G18="empate",Supuestos!$F$10,0))</f>
        <v>0</v>
      </c>
      <c r="K18" s="44" t="n">
        <f aca="false">IF(G18="g",H18,IF(G18="r",-H18,0))</f>
        <v>2</v>
      </c>
      <c r="L18" s="43" t="n">
        <f aca="false">I18*IF(B18="fb",Supuestos!$F$11,Supuestos!$F$12)</f>
        <v>1</v>
      </c>
      <c r="M18" s="43" t="n">
        <f aca="false">J18*IF(B18="fb",Supuestos!$F$11,Supuestos!$F$12)</f>
        <v>0</v>
      </c>
    </row>
    <row r="19" customFormat="false" ht="15" hidden="false" customHeight="false" outlineLevel="0" collapsed="false">
      <c r="A19" s="38" t="n">
        <v>3</v>
      </c>
      <c r="B19" s="38" t="s">
        <v>203</v>
      </c>
      <c r="C19" s="38" t="s">
        <v>50</v>
      </c>
      <c r="D19" s="38"/>
      <c r="E19" s="38" t="s">
        <v>67</v>
      </c>
      <c r="F19" s="38"/>
      <c r="G19" s="38" t="s">
        <v>202</v>
      </c>
      <c r="H19" s="38" t="n">
        <v>2</v>
      </c>
      <c r="I19" s="43" t="n">
        <f aca="false">IF(G19="g",Supuestos!$F$9,IF(G19="empate",Supuestos!$F$10,0))</f>
        <v>0</v>
      </c>
      <c r="J19" s="43" t="n">
        <f aca="false">IF(G19="r",Supuestos!$F$9,IF(G19="empate",Supuestos!$F$10,0))</f>
        <v>1</v>
      </c>
      <c r="K19" s="44" t="n">
        <f aca="false">IF(G19="g",H19,IF(G19="r",-H19,0))</f>
        <v>-2</v>
      </c>
      <c r="L19" s="43" t="n">
        <f aca="false">I19*IF(B19="fb",Supuestos!$F$11,Supuestos!$F$12)</f>
        <v>0</v>
      </c>
      <c r="M19" s="43" t="n">
        <f aca="false">J19*IF(B19="fb",Supuestos!$F$11,Supuestos!$F$12)</f>
        <v>1</v>
      </c>
    </row>
    <row r="20" customFormat="false" ht="15" hidden="false" customHeight="false" outlineLevel="0" collapsed="false">
      <c r="A20" s="38" t="n">
        <v>3</v>
      </c>
      <c r="B20" s="38" t="s">
        <v>203</v>
      </c>
      <c r="C20" s="38" t="s">
        <v>59</v>
      </c>
      <c r="D20" s="38"/>
      <c r="E20" s="38" t="s">
        <v>74</v>
      </c>
      <c r="F20" s="38"/>
      <c r="G20" s="38" t="s">
        <v>201</v>
      </c>
      <c r="H20" s="38" t="n">
        <v>1</v>
      </c>
      <c r="I20" s="43" t="n">
        <f aca="false">IF(G20="g",Supuestos!$F$9,IF(G20="empate",Supuestos!$F$10,0))</f>
        <v>1</v>
      </c>
      <c r="J20" s="43" t="n">
        <f aca="false">IF(G20="r",Supuestos!$F$9,IF(G20="empate",Supuestos!$F$10,0))</f>
        <v>0</v>
      </c>
      <c r="K20" s="44" t="n">
        <f aca="false">IF(G20="g",H20,IF(G20="r",-H20,0))</f>
        <v>1</v>
      </c>
      <c r="L20" s="43" t="n">
        <f aca="false">I20*IF(B20="fb",Supuestos!$F$11,Supuestos!$F$12)</f>
        <v>1</v>
      </c>
      <c r="M20" s="43" t="n">
        <f aca="false">J20*IF(B20="fb",Supuestos!$F$11,Supuestos!$F$12)</f>
        <v>0</v>
      </c>
    </row>
    <row r="21" customFormat="false" ht="15" hidden="false" customHeight="false" outlineLevel="0" collapsed="false">
      <c r="A21" s="38" t="n">
        <v>4</v>
      </c>
      <c r="B21" s="38" t="s">
        <v>200</v>
      </c>
      <c r="C21" s="38" t="s">
        <v>65</v>
      </c>
      <c r="D21" s="38" t="s">
        <v>59</v>
      </c>
      <c r="E21" s="38" t="s">
        <v>204</v>
      </c>
      <c r="F21" s="38" t="s">
        <v>70</v>
      </c>
      <c r="G21" s="38" t="s">
        <v>201</v>
      </c>
      <c r="H21" s="38" t="n">
        <v>1</v>
      </c>
      <c r="I21" s="43" t="n">
        <f aca="false">IF(G21="g",Supuestos!$F$9,IF(G21="empate",Supuestos!$F$10,0))</f>
        <v>1</v>
      </c>
      <c r="J21" s="43" t="n">
        <f aca="false">IF(G21="r",Supuestos!$F$9,IF(G21="empate",Supuestos!$F$10,0))</f>
        <v>0</v>
      </c>
      <c r="K21" s="44" t="n">
        <f aca="false">IF(G21="g",H21,IF(G21="r",-H21,0))</f>
        <v>1</v>
      </c>
      <c r="L21" s="43" t="n">
        <f aca="false">I21*IF(B21="fb",Supuestos!$F$11,Supuestos!$F$12)</f>
        <v>0.5</v>
      </c>
      <c r="M21" s="43" t="n">
        <f aca="false">J21*IF(B21="fb",Supuestos!$F$11,Supuestos!$F$12)</f>
        <v>0</v>
      </c>
    </row>
    <row r="22" customFormat="false" ht="15" hidden="false" customHeight="false" outlineLevel="0" collapsed="false">
      <c r="A22" s="38" t="n">
        <v>4</v>
      </c>
      <c r="B22" s="38" t="s">
        <v>200</v>
      </c>
      <c r="C22" s="38" t="s">
        <v>84</v>
      </c>
      <c r="D22" s="38" t="s">
        <v>181</v>
      </c>
      <c r="E22" s="38" t="s">
        <v>72</v>
      </c>
      <c r="F22" s="38" t="s">
        <v>205</v>
      </c>
      <c r="G22" s="38" t="s">
        <v>201</v>
      </c>
      <c r="H22" s="38" t="n">
        <v>1</v>
      </c>
      <c r="I22" s="43" t="n">
        <f aca="false">IF(G22="g",Supuestos!$F$9,IF(G22="empate",Supuestos!$F$10,0))</f>
        <v>1</v>
      </c>
      <c r="J22" s="43" t="n">
        <f aca="false">IF(G22="r",Supuestos!$F$9,IF(G22="empate",Supuestos!$F$10,0))</f>
        <v>0</v>
      </c>
      <c r="K22" s="44" t="n">
        <f aca="false">IF(G22="g",H22,IF(G22="r",-H22,0))</f>
        <v>1</v>
      </c>
      <c r="L22" s="43" t="n">
        <f aca="false">I22*IF(B22="fb",Supuestos!$F$11,Supuestos!$F$12)</f>
        <v>0.5</v>
      </c>
      <c r="M22" s="43" t="n">
        <f aca="false">J22*IF(B22="fb",Supuestos!$F$11,Supuestos!$F$12)</f>
        <v>0</v>
      </c>
    </row>
    <row r="23" customFormat="false" ht="15" hidden="false" customHeight="false" outlineLevel="0" collapsed="false">
      <c r="A23" s="38" t="n">
        <v>4</v>
      </c>
      <c r="B23" s="38" t="s">
        <v>200</v>
      </c>
      <c r="C23" s="38" t="s">
        <v>63</v>
      </c>
      <c r="D23" s="38" t="s">
        <v>53</v>
      </c>
      <c r="E23" s="38" t="s">
        <v>82</v>
      </c>
      <c r="F23" s="38" t="s">
        <v>67</v>
      </c>
      <c r="G23" s="38" t="s">
        <v>201</v>
      </c>
      <c r="H23" s="38" t="n">
        <v>4</v>
      </c>
      <c r="I23" s="43" t="n">
        <f aca="false">IF(G23="g",Supuestos!$F$9,IF(G23="empate",Supuestos!$F$10,0))</f>
        <v>1</v>
      </c>
      <c r="J23" s="43" t="n">
        <f aca="false">IF(G23="r",Supuestos!$F$9,IF(G23="empate",Supuestos!$F$10,0))</f>
        <v>0</v>
      </c>
      <c r="K23" s="44" t="n">
        <f aca="false">IF(G23="g",H23,IF(G23="r",-H23,0))</f>
        <v>4</v>
      </c>
      <c r="L23" s="43" t="n">
        <f aca="false">I23*IF(B23="fb",Supuestos!$F$11,Supuestos!$F$12)</f>
        <v>0.5</v>
      </c>
      <c r="M23" s="43" t="n">
        <f aca="false">J23*IF(B23="fb",Supuestos!$F$11,Supuestos!$F$12)</f>
        <v>0</v>
      </c>
    </row>
    <row r="24" customFormat="false" ht="15" hidden="false" customHeight="false" outlineLevel="0" collapsed="false">
      <c r="A24" s="38" t="n">
        <v>4</v>
      </c>
      <c r="B24" s="38" t="s">
        <v>200</v>
      </c>
      <c r="C24" s="38" t="s">
        <v>61</v>
      </c>
      <c r="D24" s="38" t="s">
        <v>205</v>
      </c>
      <c r="E24" s="38" t="s">
        <v>76</v>
      </c>
      <c r="F24" s="38" t="s">
        <v>78</v>
      </c>
      <c r="G24" s="38" t="s">
        <v>202</v>
      </c>
      <c r="H24" s="38" t="n">
        <v>6</v>
      </c>
      <c r="I24" s="43" t="n">
        <f aca="false">IF(G24="g",Supuestos!$F$9,IF(G24="empate",Supuestos!$F$10,0))</f>
        <v>0</v>
      </c>
      <c r="J24" s="43" t="n">
        <f aca="false">IF(G24="r",Supuestos!$F$9,IF(G24="empate",Supuestos!$F$10,0))</f>
        <v>1</v>
      </c>
      <c r="K24" s="44" t="n">
        <f aca="false">IF(G24="g",H24,IF(G24="r",-H24,0))</f>
        <v>-6</v>
      </c>
      <c r="L24" s="43" t="n">
        <f aca="false">I24*IF(B24="fb",Supuestos!$F$11,Supuestos!$F$12)</f>
        <v>0</v>
      </c>
      <c r="M24" s="43" t="n">
        <f aca="false">J24*IF(B24="fb",Supuestos!$F$11,Supuestos!$F$12)</f>
        <v>0.5</v>
      </c>
    </row>
    <row r="25" customFormat="false" ht="15" hidden="false" customHeight="false" outlineLevel="0" collapsed="false">
      <c r="A25" s="38" t="n">
        <v>5</v>
      </c>
      <c r="B25" s="38" t="s">
        <v>200</v>
      </c>
      <c r="C25" s="38" t="s">
        <v>50</v>
      </c>
      <c r="D25" s="38" t="s">
        <v>61</v>
      </c>
      <c r="E25" s="38" t="s">
        <v>82</v>
      </c>
      <c r="F25" s="38" t="s">
        <v>175</v>
      </c>
      <c r="G25" s="38" t="s">
        <v>201</v>
      </c>
      <c r="H25" s="38" t="n">
        <v>3</v>
      </c>
      <c r="I25" s="43" t="n">
        <f aca="false">IF(G25="g",Supuestos!$F$9,IF(G25="empate",Supuestos!$F$10,0))</f>
        <v>1</v>
      </c>
      <c r="J25" s="43" t="n">
        <f aca="false">IF(G25="r",Supuestos!$F$9,IF(G25="empate",Supuestos!$F$10,0))</f>
        <v>0</v>
      </c>
      <c r="K25" s="44" t="n">
        <f aca="false">IF(G25="g",H25,IF(G25="r",-H25,0))</f>
        <v>3</v>
      </c>
      <c r="L25" s="43" t="n">
        <f aca="false">I25*IF(B25="fb",Supuestos!$F$11,Supuestos!$F$12)</f>
        <v>0.5</v>
      </c>
      <c r="M25" s="43" t="n">
        <f aca="false">J25*IF(B25="fb",Supuestos!$F$11,Supuestos!$F$12)</f>
        <v>0</v>
      </c>
    </row>
    <row r="26" customFormat="false" ht="15" hidden="false" customHeight="false" outlineLevel="0" collapsed="false">
      <c r="A26" s="38" t="n">
        <v>5</v>
      </c>
      <c r="B26" s="38" t="s">
        <v>200</v>
      </c>
      <c r="C26" s="38" t="s">
        <v>57</v>
      </c>
      <c r="D26" s="38" t="s">
        <v>173</v>
      </c>
      <c r="E26" s="38" t="s">
        <v>74</v>
      </c>
      <c r="F26" s="38" t="s">
        <v>67</v>
      </c>
      <c r="G26" s="38" t="s">
        <v>206</v>
      </c>
      <c r="H26" s="38" t="n">
        <v>0</v>
      </c>
      <c r="I26" s="43" t="n">
        <f aca="false">IF(G26="g",Supuestos!$F$9,IF(G26="empate",Supuestos!$F$10,0))</f>
        <v>0.5</v>
      </c>
      <c r="J26" s="43" t="n">
        <f aca="false">IF(G26="r",Supuestos!$F$9,IF(G26="empate",Supuestos!$F$10,0))</f>
        <v>0.5</v>
      </c>
      <c r="K26" s="44" t="n">
        <f aca="false">IF(G26="g",H26,IF(G26="r",-H26,0))</f>
        <v>0</v>
      </c>
      <c r="L26" s="43" t="n">
        <f aca="false">I26*IF(B26="fb",Supuestos!$F$11,Supuestos!$F$12)</f>
        <v>0.25</v>
      </c>
      <c r="M26" s="43" t="n">
        <f aca="false">J26*IF(B26="fb",Supuestos!$F$11,Supuestos!$F$12)</f>
        <v>0.25</v>
      </c>
    </row>
    <row r="27" customFormat="false" ht="15" hidden="false" customHeight="false" outlineLevel="0" collapsed="false">
      <c r="A27" s="38" t="n">
        <v>5</v>
      </c>
      <c r="B27" s="38" t="s">
        <v>200</v>
      </c>
      <c r="C27" s="38" t="s">
        <v>55</v>
      </c>
      <c r="D27" s="38" t="s">
        <v>65</v>
      </c>
      <c r="E27" s="38" t="s">
        <v>76</v>
      </c>
      <c r="F27" s="38" t="s">
        <v>72</v>
      </c>
      <c r="G27" s="38" t="s">
        <v>206</v>
      </c>
      <c r="H27" s="38" t="n">
        <v>0</v>
      </c>
      <c r="I27" s="43" t="n">
        <f aca="false">IF(G27="g",Supuestos!$F$9,IF(G27="empate",Supuestos!$F$10,0))</f>
        <v>0.5</v>
      </c>
      <c r="J27" s="43" t="n">
        <f aca="false">IF(G27="r",Supuestos!$F$9,IF(G27="empate",Supuestos!$F$10,0))</f>
        <v>0.5</v>
      </c>
      <c r="K27" s="44" t="n">
        <f aca="false">IF(G27="g",H27,IF(G27="r",-H27,0))</f>
        <v>0</v>
      </c>
      <c r="L27" s="43" t="n">
        <f aca="false">I27*IF(B27="fb",Supuestos!$F$11,Supuestos!$F$12)</f>
        <v>0.25</v>
      </c>
      <c r="M27" s="43" t="n">
        <f aca="false">J27*IF(B27="fb",Supuestos!$F$11,Supuestos!$F$12)</f>
        <v>0.25</v>
      </c>
    </row>
    <row r="28" customFormat="false" ht="15" hidden="false" customHeight="false" outlineLevel="0" collapsed="false">
      <c r="A28" s="38" t="n">
        <v>5</v>
      </c>
      <c r="B28" s="38" t="s">
        <v>200</v>
      </c>
      <c r="C28" s="38" t="s">
        <v>63</v>
      </c>
      <c r="D28" s="38" t="s">
        <v>53</v>
      </c>
      <c r="E28" s="38" t="s">
        <v>169</v>
      </c>
      <c r="F28" s="38" t="s">
        <v>70</v>
      </c>
      <c r="G28" s="38" t="s">
        <v>202</v>
      </c>
      <c r="H28" s="38" t="n">
        <v>4</v>
      </c>
      <c r="I28" s="43" t="n">
        <f aca="false">IF(G28="g",Supuestos!$F$9,IF(G28="empate",Supuestos!$F$10,0))</f>
        <v>0</v>
      </c>
      <c r="J28" s="43" t="n">
        <f aca="false">IF(G28="r",Supuestos!$F$9,IF(G28="empate",Supuestos!$F$10,0))</f>
        <v>1</v>
      </c>
      <c r="K28" s="44" t="n">
        <f aca="false">IF(G28="g",H28,IF(G28="r",-H28,0))</f>
        <v>-4</v>
      </c>
      <c r="L28" s="43" t="n">
        <f aca="false">I28*IF(B28="fb",Supuestos!$F$11,Supuestos!$F$12)</f>
        <v>0</v>
      </c>
      <c r="M28" s="43" t="n">
        <f aca="false">J28*IF(B28="fb",Supuestos!$F$11,Supuestos!$F$12)</f>
        <v>0.5</v>
      </c>
    </row>
    <row r="29" customFormat="false" ht="15" hidden="false" customHeight="false" outlineLevel="0" collapsed="false">
      <c r="A29" s="38" t="n">
        <v>6</v>
      </c>
      <c r="B29" s="38" t="s">
        <v>203</v>
      </c>
      <c r="C29" s="38" t="s">
        <v>50</v>
      </c>
      <c r="D29" s="38"/>
      <c r="E29" s="38" t="s">
        <v>82</v>
      </c>
      <c r="F29" s="38"/>
      <c r="G29" s="38" t="s">
        <v>201</v>
      </c>
      <c r="H29" s="38" t="n">
        <v>5</v>
      </c>
      <c r="I29" s="43" t="n">
        <f aca="false">IF(G29="g",Supuestos!$F$9,IF(G29="empate",Supuestos!$F$10,0))</f>
        <v>1</v>
      </c>
      <c r="J29" s="43" t="n">
        <f aca="false">IF(G29="r",Supuestos!$F$9,IF(G29="empate",Supuestos!$F$10,0))</f>
        <v>0</v>
      </c>
      <c r="K29" s="44" t="n">
        <f aca="false">IF(G29="g",H29,IF(G29="r",-H29,0))</f>
        <v>5</v>
      </c>
      <c r="L29" s="43" t="n">
        <f aca="false">I29*IF(B29="fb",Supuestos!$F$11,Supuestos!$F$12)</f>
        <v>1</v>
      </c>
      <c r="M29" s="43" t="n">
        <f aca="false">J29*IF(B29="fb",Supuestos!$F$11,Supuestos!$F$12)</f>
        <v>0</v>
      </c>
    </row>
    <row r="30" customFormat="false" ht="15" hidden="false" customHeight="false" outlineLevel="0" collapsed="false">
      <c r="A30" s="38" t="n">
        <v>6</v>
      </c>
      <c r="B30" s="38" t="s">
        <v>203</v>
      </c>
      <c r="C30" s="38" t="s">
        <v>61</v>
      </c>
      <c r="D30" s="38"/>
      <c r="E30" s="38" t="s">
        <v>74</v>
      </c>
      <c r="F30" s="38"/>
      <c r="G30" s="38" t="s">
        <v>201</v>
      </c>
      <c r="H30" s="38" t="n">
        <v>7</v>
      </c>
      <c r="I30" s="43" t="n">
        <f aca="false">IF(G30="g",Supuestos!$F$9,IF(G30="empate",Supuestos!$F$10,0))</f>
        <v>1</v>
      </c>
      <c r="J30" s="43" t="n">
        <f aca="false">IF(G30="r",Supuestos!$F$9,IF(G30="empate",Supuestos!$F$10,0))</f>
        <v>0</v>
      </c>
      <c r="K30" s="44" t="n">
        <f aca="false">IF(G30="g",H30,IF(G30="r",-H30,0))</f>
        <v>7</v>
      </c>
      <c r="L30" s="43" t="n">
        <f aca="false">I30*IF(B30="fb",Supuestos!$F$11,Supuestos!$F$12)</f>
        <v>1</v>
      </c>
      <c r="M30" s="43" t="n">
        <f aca="false">J30*IF(B30="fb",Supuestos!$F$11,Supuestos!$F$12)</f>
        <v>0</v>
      </c>
    </row>
    <row r="31" customFormat="false" ht="15" hidden="false" customHeight="false" outlineLevel="0" collapsed="false">
      <c r="A31" s="38" t="n">
        <v>6</v>
      </c>
      <c r="B31" s="38" t="s">
        <v>203</v>
      </c>
      <c r="C31" s="38" t="s">
        <v>53</v>
      </c>
      <c r="D31" s="38"/>
      <c r="E31" s="38" t="s">
        <v>78</v>
      </c>
      <c r="F31" s="38"/>
      <c r="G31" s="38" t="s">
        <v>202</v>
      </c>
      <c r="H31" s="38" t="n">
        <v>3</v>
      </c>
      <c r="I31" s="43" t="n">
        <f aca="false">IF(G31="g",Supuestos!$F$9,IF(G31="empate",Supuestos!$F$10,0))</f>
        <v>0</v>
      </c>
      <c r="J31" s="43" t="n">
        <f aca="false">IF(G31="r",Supuestos!$F$9,IF(G31="empate",Supuestos!$F$10,0))</f>
        <v>1</v>
      </c>
      <c r="K31" s="44" t="n">
        <f aca="false">IF(G31="g",H31,IF(G31="r",-H31,0))</f>
        <v>-3</v>
      </c>
      <c r="L31" s="43" t="n">
        <f aca="false">I31*IF(B31="fb",Supuestos!$F$11,Supuestos!$F$12)</f>
        <v>0</v>
      </c>
      <c r="M31" s="43" t="n">
        <f aca="false">J31*IF(B31="fb",Supuestos!$F$11,Supuestos!$F$12)</f>
        <v>1</v>
      </c>
    </row>
    <row r="32" customFormat="false" ht="15" hidden="false" customHeight="false" outlineLevel="0" collapsed="false">
      <c r="A32" s="38" t="n">
        <v>6</v>
      </c>
      <c r="B32" s="38" t="s">
        <v>203</v>
      </c>
      <c r="C32" s="38" t="s">
        <v>57</v>
      </c>
      <c r="D32" s="38"/>
      <c r="E32" s="38" t="s">
        <v>76</v>
      </c>
      <c r="F32" s="38"/>
      <c r="G32" s="38" t="s">
        <v>202</v>
      </c>
      <c r="H32" s="38" t="n">
        <v>3</v>
      </c>
      <c r="I32" s="43" t="n">
        <f aca="false">IF(G32="g",Supuestos!$F$9,IF(G32="empate",Supuestos!$F$10,0))</f>
        <v>0</v>
      </c>
      <c r="J32" s="43" t="n">
        <f aca="false">IF(G32="r",Supuestos!$F$9,IF(G32="empate",Supuestos!$F$10,0))</f>
        <v>1</v>
      </c>
      <c r="K32" s="44" t="n">
        <f aca="false">IF(G32="g",H32,IF(G32="r",-H32,0))</f>
        <v>-3</v>
      </c>
      <c r="L32" s="43" t="n">
        <f aca="false">I32*IF(B32="fb",Supuestos!$F$11,Supuestos!$F$12)</f>
        <v>0</v>
      </c>
      <c r="M32" s="43" t="n">
        <f aca="false">J32*IF(B32="fb",Supuestos!$F$11,Supuestos!$F$12)</f>
        <v>1</v>
      </c>
    </row>
    <row r="33" customFormat="false" ht="15" hidden="false" customHeight="false" outlineLevel="0" collapsed="false">
      <c r="A33" s="38" t="n">
        <v>6</v>
      </c>
      <c r="B33" s="38" t="s">
        <v>203</v>
      </c>
      <c r="C33" s="38" t="s">
        <v>65</v>
      </c>
      <c r="D33" s="38"/>
      <c r="E33" s="38" t="s">
        <v>70</v>
      </c>
      <c r="F33" s="38"/>
      <c r="G33" s="38" t="s">
        <v>206</v>
      </c>
      <c r="H33" s="38" t="n">
        <v>0</v>
      </c>
      <c r="I33" s="43" t="n">
        <f aca="false">IF(G33="g",Supuestos!$F$9,IF(G33="empate",Supuestos!$F$10,0))</f>
        <v>0.5</v>
      </c>
      <c r="J33" s="43" t="n">
        <f aca="false">IF(G33="r",Supuestos!$F$9,IF(G33="empate",Supuestos!$F$10,0))</f>
        <v>0.5</v>
      </c>
      <c r="K33" s="44" t="n">
        <f aca="false">IF(G33="g",H33,IF(G33="r",-H33,0))</f>
        <v>0</v>
      </c>
      <c r="L33" s="43" t="n">
        <f aca="false">I33*IF(B33="fb",Supuestos!$F$11,Supuestos!$F$12)</f>
        <v>0.5</v>
      </c>
      <c r="M33" s="43" t="n">
        <f aca="false">J33*IF(B33="fb",Supuestos!$F$11,Supuestos!$F$12)</f>
        <v>0.5</v>
      </c>
    </row>
    <row r="34" customFormat="false" ht="15" hidden="false" customHeight="false" outlineLevel="0" collapsed="false">
      <c r="A34" s="38" t="n">
        <v>6</v>
      </c>
      <c r="B34" s="38" t="s">
        <v>203</v>
      </c>
      <c r="C34" s="38" t="s">
        <v>63</v>
      </c>
      <c r="D34" s="38"/>
      <c r="E34" s="38" t="s">
        <v>80</v>
      </c>
      <c r="F34" s="38"/>
      <c r="G34" s="38" t="s">
        <v>201</v>
      </c>
      <c r="H34" s="38" t="n">
        <v>3</v>
      </c>
      <c r="I34" s="43" t="n">
        <f aca="false">IF(G34="g",Supuestos!$F$9,IF(G34="empate",Supuestos!$F$10,0))</f>
        <v>1</v>
      </c>
      <c r="J34" s="43" t="n">
        <f aca="false">IF(G34="r",Supuestos!$F$9,IF(G34="empate",Supuestos!$F$10,0))</f>
        <v>0</v>
      </c>
      <c r="K34" s="44" t="n">
        <f aca="false">IF(G34="g",H34,IF(G34="r",-H34,0))</f>
        <v>3</v>
      </c>
      <c r="L34" s="43" t="n">
        <f aca="false">I34*IF(B34="fb",Supuestos!$F$11,Supuestos!$F$12)</f>
        <v>1</v>
      </c>
      <c r="M34" s="43" t="n">
        <f aca="false">J34*IF(B34="fb",Supuestos!$F$11,Supuestos!$F$12)</f>
        <v>0</v>
      </c>
    </row>
    <row r="35" customFormat="false" ht="15" hidden="false" customHeight="false" outlineLevel="0" collapsed="false">
      <c r="A35" s="38" t="n">
        <v>6</v>
      </c>
      <c r="B35" s="38" t="s">
        <v>203</v>
      </c>
      <c r="C35" s="38" t="s">
        <v>55</v>
      </c>
      <c r="D35" s="38"/>
      <c r="E35" s="38" t="s">
        <v>67</v>
      </c>
      <c r="F35" s="38"/>
      <c r="G35" s="38" t="s">
        <v>201</v>
      </c>
      <c r="H35" s="38" t="n">
        <v>2</v>
      </c>
      <c r="I35" s="43" t="n">
        <f aca="false">IF(G35="g",Supuestos!$F$9,IF(G35="empate",Supuestos!$F$10,0))</f>
        <v>1</v>
      </c>
      <c r="J35" s="43" t="n">
        <f aca="false">IF(G35="r",Supuestos!$F$9,IF(G35="empate",Supuestos!$F$10,0))</f>
        <v>0</v>
      </c>
      <c r="K35" s="44" t="n">
        <f aca="false">IF(G35="g",H35,IF(G35="r",-H35,0))</f>
        <v>2</v>
      </c>
      <c r="L35" s="43" t="n">
        <f aca="false">I35*IF(B35="fb",Supuestos!$F$11,Supuestos!$F$12)</f>
        <v>1</v>
      </c>
      <c r="M35" s="43" t="n">
        <f aca="false">J35*IF(B35="fb",Supuestos!$F$11,Supuestos!$F$12)</f>
        <v>0</v>
      </c>
    </row>
    <row r="36" customFormat="false" ht="15" hidden="false" customHeight="false" outlineLevel="0" collapsed="false">
      <c r="A36" s="38" t="n">
        <v>6</v>
      </c>
      <c r="B36" s="38" t="s">
        <v>203</v>
      </c>
      <c r="C36" s="38" t="s">
        <v>59</v>
      </c>
      <c r="D36" s="38"/>
      <c r="E36" s="38" t="s">
        <v>72</v>
      </c>
      <c r="F36" s="38"/>
      <c r="G36" s="38" t="s">
        <v>201</v>
      </c>
      <c r="H36" s="38" t="n">
        <v>4</v>
      </c>
      <c r="I36" s="43" t="n">
        <f aca="false">IF(G36="g",Supuestos!$F$9,IF(G36="empate",Supuestos!$F$10,0))</f>
        <v>1</v>
      </c>
      <c r="J36" s="43" t="n">
        <f aca="false">IF(G36="r",Supuestos!$F$9,IF(G36="empate",Supuestos!$F$10,0))</f>
        <v>0</v>
      </c>
      <c r="K36" s="44" t="n">
        <f aca="false">IF(G36="g",H36,IF(G36="r",-H36,0))</f>
        <v>4</v>
      </c>
      <c r="L36" s="43" t="n">
        <f aca="false">I36*IF(B36="fb",Supuestos!$F$11,Supuestos!$F$12)</f>
        <v>1</v>
      </c>
      <c r="M36" s="43" t="n">
        <f aca="false">J36*IF(B36="fb",Supuestos!$F$11,Supuestos!$F$12)</f>
        <v>0</v>
      </c>
    </row>
    <row r="37" customFormat="false" ht="15" hidden="false" customHeight="false" outlineLevel="0" collapsed="false">
      <c r="A37" s="38" t="n">
        <v>7</v>
      </c>
      <c r="B37" s="38" t="s">
        <v>200</v>
      </c>
      <c r="C37" s="38" t="s">
        <v>53</v>
      </c>
      <c r="D37" s="38" t="s">
        <v>61</v>
      </c>
      <c r="E37" s="38" t="s">
        <v>74</v>
      </c>
      <c r="F37" s="38" t="s">
        <v>78</v>
      </c>
      <c r="G37" s="38" t="s">
        <v>201</v>
      </c>
      <c r="H37" s="38" t="n">
        <v>6</v>
      </c>
      <c r="I37" s="43" t="n">
        <f aca="false">IF(G37="g",Supuestos!$F$9,IF(G37="empate",Supuestos!$F$10,0))</f>
        <v>1</v>
      </c>
      <c r="J37" s="43" t="n">
        <f aca="false">IF(G37="r",Supuestos!$F$9,IF(G37="empate",Supuestos!$F$10,0))</f>
        <v>0</v>
      </c>
      <c r="K37" s="44" t="n">
        <f aca="false">IF(G37="g",H37,IF(G37="r",-H37,0))</f>
        <v>6</v>
      </c>
      <c r="L37" s="43" t="n">
        <f aca="false">I37*IF(B37="fb",Supuestos!$F$11,Supuestos!$F$12)</f>
        <v>0.5</v>
      </c>
      <c r="M37" s="43" t="n">
        <f aca="false">J37*IF(B37="fb",Supuestos!$F$11,Supuestos!$F$12)</f>
        <v>0</v>
      </c>
    </row>
    <row r="38" customFormat="false" ht="15" hidden="false" customHeight="false" outlineLevel="0" collapsed="false">
      <c r="A38" s="38" t="n">
        <v>7</v>
      </c>
      <c r="B38" s="38" t="s">
        <v>200</v>
      </c>
      <c r="C38" s="38" t="s">
        <v>59</v>
      </c>
      <c r="D38" s="38" t="s">
        <v>55</v>
      </c>
      <c r="E38" s="38" t="s">
        <v>70</v>
      </c>
      <c r="F38" s="38" t="s">
        <v>80</v>
      </c>
      <c r="G38" s="38" t="s">
        <v>206</v>
      </c>
      <c r="H38" s="38" t="n">
        <v>0</v>
      </c>
      <c r="I38" s="43" t="n">
        <f aca="false">IF(G38="g",Supuestos!$F$9,IF(G38="empate",Supuestos!$F$10,0))</f>
        <v>0.5</v>
      </c>
      <c r="J38" s="43" t="n">
        <f aca="false">IF(G38="r",Supuestos!$F$9,IF(G38="empate",Supuestos!$F$10,0))</f>
        <v>0.5</v>
      </c>
      <c r="K38" s="44" t="n">
        <f aca="false">IF(G38="g",H38,IF(G38="r",-H38,0))</f>
        <v>0</v>
      </c>
      <c r="L38" s="43" t="n">
        <f aca="false">I38*IF(B38="fb",Supuestos!$F$11,Supuestos!$F$12)</f>
        <v>0.25</v>
      </c>
      <c r="M38" s="43" t="n">
        <f aca="false">J38*IF(B38="fb",Supuestos!$F$11,Supuestos!$F$12)</f>
        <v>0.25</v>
      </c>
    </row>
    <row r="39" customFormat="false" ht="15" hidden="false" customHeight="false" outlineLevel="0" collapsed="false">
      <c r="A39" s="38" t="n">
        <v>7</v>
      </c>
      <c r="B39" s="38" t="s">
        <v>200</v>
      </c>
      <c r="C39" s="38" t="s">
        <v>57</v>
      </c>
      <c r="D39" s="38" t="s">
        <v>63</v>
      </c>
      <c r="E39" s="38" t="s">
        <v>72</v>
      </c>
      <c r="F39" s="38" t="s">
        <v>82</v>
      </c>
      <c r="G39" s="38" t="s">
        <v>201</v>
      </c>
      <c r="H39" s="38" t="n">
        <v>4</v>
      </c>
      <c r="I39" s="43" t="n">
        <f aca="false">IF(G39="g",Supuestos!$F$9,IF(G39="empate",Supuestos!$F$10,0))</f>
        <v>1</v>
      </c>
      <c r="J39" s="43" t="n">
        <f aca="false">IF(G39="r",Supuestos!$F$9,IF(G39="empate",Supuestos!$F$10,0))</f>
        <v>0</v>
      </c>
      <c r="K39" s="44" t="n">
        <f aca="false">IF(G39="g",H39,IF(G39="r",-H39,0))</f>
        <v>4</v>
      </c>
      <c r="L39" s="43" t="n">
        <f aca="false">I39*IF(B39="fb",Supuestos!$F$11,Supuestos!$F$12)</f>
        <v>0.5</v>
      </c>
      <c r="M39" s="43" t="n">
        <f aca="false">J39*IF(B39="fb",Supuestos!$F$11,Supuestos!$F$12)</f>
        <v>0</v>
      </c>
    </row>
    <row r="40" customFormat="false" ht="15" hidden="false" customHeight="false" outlineLevel="0" collapsed="false">
      <c r="A40" s="38" t="n">
        <v>7</v>
      </c>
      <c r="B40" s="38" t="s">
        <v>200</v>
      </c>
      <c r="C40" s="38" t="s">
        <v>65</v>
      </c>
      <c r="D40" s="38" t="s">
        <v>181</v>
      </c>
      <c r="E40" s="38" t="s">
        <v>67</v>
      </c>
      <c r="F40" s="38" t="s">
        <v>76</v>
      </c>
      <c r="G40" s="38" t="s">
        <v>202</v>
      </c>
      <c r="H40" s="38" t="n">
        <v>1</v>
      </c>
      <c r="I40" s="43" t="n">
        <f aca="false">IF(G40="g",Supuestos!$F$9,IF(G40="empate",Supuestos!$F$10,0))</f>
        <v>0</v>
      </c>
      <c r="J40" s="43" t="n">
        <f aca="false">IF(G40="r",Supuestos!$F$9,IF(G40="empate",Supuestos!$F$10,0))</f>
        <v>1</v>
      </c>
      <c r="K40" s="44" t="n">
        <f aca="false">IF(G40="g",H40,IF(G40="r",-H40,0))</f>
        <v>-1</v>
      </c>
      <c r="L40" s="43" t="n">
        <f aca="false">I40*IF(B40="fb",Supuestos!$F$11,Supuestos!$F$12)</f>
        <v>0</v>
      </c>
      <c r="M40" s="43" t="n">
        <f aca="false">J40*IF(B40="fb",Supuestos!$F$11,Supuestos!$F$12)</f>
        <v>0.5</v>
      </c>
    </row>
    <row r="41" customFormat="false" ht="15" hidden="false" customHeight="false" outlineLevel="0" collapsed="false">
      <c r="A41" s="38" t="n">
        <v>8</v>
      </c>
      <c r="B41" s="38" t="s">
        <v>203</v>
      </c>
      <c r="C41" s="38" t="s">
        <v>61</v>
      </c>
      <c r="D41" s="38"/>
      <c r="E41" s="38" t="s">
        <v>67</v>
      </c>
      <c r="F41" s="38"/>
      <c r="G41" s="38" t="s">
        <v>201</v>
      </c>
      <c r="H41" s="38" t="n">
        <v>3</v>
      </c>
      <c r="I41" s="43" t="n">
        <f aca="false">IF(G41="g",Supuestos!$F$9,IF(G41="empate",Supuestos!$F$10,0))</f>
        <v>1</v>
      </c>
      <c r="J41" s="43" t="n">
        <f aca="false">IF(G41="r",Supuestos!$F$9,IF(G41="empate",Supuestos!$F$10,0))</f>
        <v>0</v>
      </c>
      <c r="K41" s="44" t="n">
        <f aca="false">IF(G41="g",H41,IF(G41="r",-H41,0))</f>
        <v>3</v>
      </c>
      <c r="L41" s="43" t="n">
        <f aca="false">I41*IF(B41="fb",Supuestos!$F$11,Supuestos!$F$12)</f>
        <v>1</v>
      </c>
      <c r="M41" s="43" t="n">
        <f aca="false">J41*IF(B41="fb",Supuestos!$F$11,Supuestos!$F$12)</f>
        <v>0</v>
      </c>
    </row>
    <row r="42" customFormat="false" ht="15" hidden="false" customHeight="false" outlineLevel="0" collapsed="false">
      <c r="A42" s="38" t="n">
        <v>8</v>
      </c>
      <c r="B42" s="38" t="s">
        <v>203</v>
      </c>
      <c r="C42" s="38" t="s">
        <v>65</v>
      </c>
      <c r="D42" s="38"/>
      <c r="E42" s="38" t="s">
        <v>78</v>
      </c>
      <c r="F42" s="38"/>
      <c r="G42" s="38" t="s">
        <v>206</v>
      </c>
      <c r="H42" s="38" t="n">
        <v>0</v>
      </c>
      <c r="I42" s="43" t="n">
        <f aca="false">IF(G42="g",Supuestos!$F$9,IF(G42="empate",Supuestos!$F$10,0))</f>
        <v>0.5</v>
      </c>
      <c r="J42" s="43" t="n">
        <f aca="false">IF(G42="r",Supuestos!$F$9,IF(G42="empate",Supuestos!$F$10,0))</f>
        <v>0.5</v>
      </c>
      <c r="K42" s="44" t="n">
        <f aca="false">IF(G42="g",H42,IF(G42="r",-H42,0))</f>
        <v>0</v>
      </c>
      <c r="L42" s="43" t="n">
        <f aca="false">I42*IF(B42="fb",Supuestos!$F$11,Supuestos!$F$12)</f>
        <v>0.5</v>
      </c>
      <c r="M42" s="43" t="n">
        <f aca="false">J42*IF(B42="fb",Supuestos!$F$11,Supuestos!$F$12)</f>
        <v>0.5</v>
      </c>
    </row>
    <row r="43" customFormat="false" ht="15" hidden="false" customHeight="false" outlineLevel="0" collapsed="false">
      <c r="A43" s="38" t="n">
        <v>8</v>
      </c>
      <c r="B43" s="38" t="s">
        <v>203</v>
      </c>
      <c r="C43" s="38" t="s">
        <v>50</v>
      </c>
      <c r="D43" s="38"/>
      <c r="E43" s="38" t="s">
        <v>82</v>
      </c>
      <c r="F43" s="38"/>
      <c r="G43" s="38" t="s">
        <v>201</v>
      </c>
      <c r="H43" s="38" t="n">
        <v>4</v>
      </c>
      <c r="I43" s="43" t="n">
        <f aca="false">IF(G43="g",Supuestos!$F$9,IF(G43="empate",Supuestos!$F$10,0))</f>
        <v>1</v>
      </c>
      <c r="J43" s="43" t="n">
        <f aca="false">IF(G43="r",Supuestos!$F$9,IF(G43="empate",Supuestos!$F$10,0))</f>
        <v>0</v>
      </c>
      <c r="K43" s="44" t="n">
        <f aca="false">IF(G43="g",H43,IF(G43="r",-H43,0))</f>
        <v>4</v>
      </c>
      <c r="L43" s="43" t="n">
        <f aca="false">I43*IF(B43="fb",Supuestos!$F$11,Supuestos!$F$12)</f>
        <v>1</v>
      </c>
      <c r="M43" s="43" t="n">
        <f aca="false">J43*IF(B43="fb",Supuestos!$F$11,Supuestos!$F$12)</f>
        <v>0</v>
      </c>
    </row>
    <row r="44" customFormat="false" ht="15" hidden="false" customHeight="false" outlineLevel="0" collapsed="false">
      <c r="A44" s="38" t="n">
        <v>8</v>
      </c>
      <c r="B44" s="38" t="s">
        <v>203</v>
      </c>
      <c r="C44" s="38" t="s">
        <v>55</v>
      </c>
      <c r="D44" s="38"/>
      <c r="E44" s="38" t="s">
        <v>84</v>
      </c>
      <c r="F44" s="38"/>
      <c r="G44" s="38" t="s">
        <v>202</v>
      </c>
      <c r="H44" s="38" t="n">
        <v>4</v>
      </c>
      <c r="I44" s="43" t="n">
        <f aca="false">IF(G44="g",Supuestos!$F$9,IF(G44="empate",Supuestos!$F$10,0))</f>
        <v>0</v>
      </c>
      <c r="J44" s="43" t="n">
        <f aca="false">IF(G44="r",Supuestos!$F$9,IF(G44="empate",Supuestos!$F$10,0))</f>
        <v>1</v>
      </c>
      <c r="K44" s="44" t="n">
        <f aca="false">IF(G44="g",H44,IF(G44="r",-H44,0))</f>
        <v>-4</v>
      </c>
      <c r="L44" s="43" t="n">
        <f aca="false">I44*IF(B44="fb",Supuestos!$F$11,Supuestos!$F$12)</f>
        <v>0</v>
      </c>
      <c r="M44" s="43" t="n">
        <f aca="false">J44*IF(B44="fb",Supuestos!$F$11,Supuestos!$F$12)</f>
        <v>1</v>
      </c>
    </row>
    <row r="45" customFormat="false" ht="15" hidden="false" customHeight="false" outlineLevel="0" collapsed="false">
      <c r="A45" s="38" t="n">
        <v>8</v>
      </c>
      <c r="B45" s="38" t="s">
        <v>203</v>
      </c>
      <c r="C45" s="38" t="s">
        <v>59</v>
      </c>
      <c r="D45" s="38"/>
      <c r="E45" s="38" t="s">
        <v>70</v>
      </c>
      <c r="F45" s="38"/>
      <c r="G45" s="38" t="s">
        <v>201</v>
      </c>
      <c r="H45" s="38" t="n">
        <v>4</v>
      </c>
      <c r="I45" s="43" t="n">
        <f aca="false">IF(G45="g",Supuestos!$F$9,IF(G45="empate",Supuestos!$F$10,0))</f>
        <v>1</v>
      </c>
      <c r="J45" s="43" t="n">
        <f aca="false">IF(G45="r",Supuestos!$F$9,IF(G45="empate",Supuestos!$F$10,0))</f>
        <v>0</v>
      </c>
      <c r="K45" s="44" t="n">
        <f aca="false">IF(G45="g",H45,IF(G45="r",-H45,0))</f>
        <v>4</v>
      </c>
      <c r="L45" s="43" t="n">
        <f aca="false">I45*IF(B45="fb",Supuestos!$F$11,Supuestos!$F$12)</f>
        <v>1</v>
      </c>
      <c r="M45" s="43" t="n">
        <f aca="false">J45*IF(B45="fb",Supuestos!$F$11,Supuestos!$F$12)</f>
        <v>0</v>
      </c>
    </row>
    <row r="46" customFormat="false" ht="15" hidden="false" customHeight="false" outlineLevel="0" collapsed="false">
      <c r="A46" s="38" t="n">
        <v>8</v>
      </c>
      <c r="B46" s="38" t="s">
        <v>203</v>
      </c>
      <c r="C46" s="38" t="s">
        <v>63</v>
      </c>
      <c r="D46" s="38"/>
      <c r="E46" s="38" t="s">
        <v>76</v>
      </c>
      <c r="F46" s="38"/>
      <c r="G46" s="38" t="s">
        <v>201</v>
      </c>
      <c r="H46" s="38" t="n">
        <v>4</v>
      </c>
      <c r="I46" s="43" t="n">
        <f aca="false">IF(G46="g",Supuestos!$F$9,IF(G46="empate",Supuestos!$F$10,0))</f>
        <v>1</v>
      </c>
      <c r="J46" s="43" t="n">
        <f aca="false">IF(G46="r",Supuestos!$F$9,IF(G46="empate",Supuestos!$F$10,0))</f>
        <v>0</v>
      </c>
      <c r="K46" s="44" t="n">
        <f aca="false">IF(G46="g",H46,IF(G46="r",-H46,0))</f>
        <v>4</v>
      </c>
      <c r="L46" s="43" t="n">
        <f aca="false">I46*IF(B46="fb",Supuestos!$F$11,Supuestos!$F$12)</f>
        <v>1</v>
      </c>
      <c r="M46" s="43" t="n">
        <f aca="false">J46*IF(B46="fb",Supuestos!$F$11,Supuestos!$F$12)</f>
        <v>0</v>
      </c>
    </row>
    <row r="48" customFormat="false" ht="15" hidden="false" customHeight="false" outlineLevel="0" collapsed="false">
      <c r="A48" s="2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22"/>
    <col collapsed="false" customWidth="true" hidden="false" outlineLevel="0" max="7" min="7" style="0" width="8"/>
    <col collapsed="false" customWidth="true" hidden="false" outlineLevel="0" max="8" min="8" style="0" width="34"/>
  </cols>
  <sheetData>
    <row r="1" customFormat="false" ht="17.35" hidden="false" customHeight="false" outlineLevel="0" collapsed="false">
      <c r="A1" s="1" t="s">
        <v>208</v>
      </c>
    </row>
    <row r="2" customFormat="false" ht="15" hidden="false" customHeight="false" outlineLevel="0" collapsed="false">
      <c r="A2" s="2" t="s">
        <v>209</v>
      </c>
    </row>
    <row r="4" customFormat="false" ht="15" hidden="false" customHeight="false" outlineLevel="0" collapsed="false">
      <c r="A4" s="8" t="s">
        <v>210</v>
      </c>
      <c r="B4" s="8" t="s">
        <v>187</v>
      </c>
      <c r="C4" s="8" t="s">
        <v>211</v>
      </c>
      <c r="D4" s="8" t="s">
        <v>212</v>
      </c>
      <c r="E4" s="8" t="s">
        <v>213</v>
      </c>
      <c r="F4" s="8" t="s">
        <v>214</v>
      </c>
      <c r="G4" s="8" t="s">
        <v>215</v>
      </c>
      <c r="H4" s="8" t="s">
        <v>216</v>
      </c>
    </row>
    <row r="5" customFormat="false" ht="15" hidden="false" customHeight="false" outlineLevel="0" collapsed="false">
      <c r="A5" s="45" t="n">
        <v>1</v>
      </c>
      <c r="B5" s="45" t="s">
        <v>217</v>
      </c>
      <c r="C5" s="45" t="s">
        <v>218</v>
      </c>
      <c r="D5" s="45" t="s">
        <v>219</v>
      </c>
      <c r="E5" s="45" t="s">
        <v>220</v>
      </c>
      <c r="F5" s="45" t="s">
        <v>221</v>
      </c>
      <c r="G5" s="46" t="n">
        <f aca="false">Supuestos!$F$6</f>
        <v>1</v>
      </c>
      <c r="H5" s="45" t="s">
        <v>222</v>
      </c>
    </row>
    <row r="6" customFormat="false" ht="15" hidden="false" customHeight="false" outlineLevel="0" collapsed="false">
      <c r="A6" s="45" t="n">
        <v>2</v>
      </c>
      <c r="B6" s="45" t="s">
        <v>223</v>
      </c>
      <c r="C6" s="45" t="s">
        <v>218</v>
      </c>
      <c r="D6" s="45" t="s">
        <v>219</v>
      </c>
      <c r="E6" s="45" t="s">
        <v>224</v>
      </c>
      <c r="F6" s="45" t="s">
        <v>225</v>
      </c>
      <c r="G6" s="46" t="n">
        <f aca="false">Supuestos!$F$6</f>
        <v>1</v>
      </c>
      <c r="H6" s="45" t="s">
        <v>222</v>
      </c>
    </row>
    <row r="7" customFormat="false" ht="15" hidden="false" customHeight="false" outlineLevel="0" collapsed="false">
      <c r="A7" s="45" t="n">
        <v>3</v>
      </c>
      <c r="B7" s="45" t="s">
        <v>226</v>
      </c>
      <c r="C7" s="45" t="s">
        <v>227</v>
      </c>
      <c r="D7" s="45" t="s">
        <v>228</v>
      </c>
      <c r="E7" s="45" t="s">
        <v>224</v>
      </c>
      <c r="F7" s="45" t="s">
        <v>229</v>
      </c>
      <c r="G7" s="46" t="n">
        <f aca="false">Supuestos!$F$6</f>
        <v>1</v>
      </c>
      <c r="H7" s="45" t="s">
        <v>222</v>
      </c>
    </row>
    <row r="8" customFormat="false" ht="15" hidden="false" customHeight="false" outlineLevel="0" collapsed="false">
      <c r="A8" s="45" t="n">
        <v>4</v>
      </c>
      <c r="B8" s="45" t="s">
        <v>230</v>
      </c>
      <c r="C8" s="45" t="s">
        <v>218</v>
      </c>
      <c r="D8" s="45" t="s">
        <v>219</v>
      </c>
      <c r="E8" s="45" t="s">
        <v>231</v>
      </c>
      <c r="F8" s="45" t="s">
        <v>232</v>
      </c>
      <c r="G8" s="46" t="n">
        <f aca="false">Supuestos!$F$6</f>
        <v>1</v>
      </c>
      <c r="H8" s="45" t="s">
        <v>233</v>
      </c>
    </row>
    <row r="9" customFormat="false" ht="15" hidden="false" customHeight="false" outlineLevel="0" collapsed="false">
      <c r="A9" s="45" t="n">
        <v>5</v>
      </c>
      <c r="B9" s="45" t="s">
        <v>234</v>
      </c>
      <c r="C9" s="45" t="s">
        <v>235</v>
      </c>
      <c r="D9" s="45" t="s">
        <v>219</v>
      </c>
      <c r="E9" s="45" t="s">
        <v>224</v>
      </c>
      <c r="F9" s="45" t="s">
        <v>236</v>
      </c>
      <c r="G9" s="46" t="n">
        <f aca="false">Supuestos!$F$6</f>
        <v>1</v>
      </c>
      <c r="H9" s="45" t="s">
        <v>222</v>
      </c>
    </row>
    <row r="10" customFormat="false" ht="15" hidden="false" customHeight="false" outlineLevel="0" collapsed="false">
      <c r="A10" s="45" t="n">
        <v>6</v>
      </c>
      <c r="B10" s="45" t="s">
        <v>237</v>
      </c>
      <c r="C10" s="45" t="s">
        <v>218</v>
      </c>
      <c r="D10" s="45" t="s">
        <v>228</v>
      </c>
      <c r="E10" s="45" t="s">
        <v>224</v>
      </c>
      <c r="F10" s="45" t="s">
        <v>238</v>
      </c>
      <c r="G10" s="46" t="n">
        <f aca="false">Supuestos!$F$6</f>
        <v>1</v>
      </c>
      <c r="H10" s="45" t="s">
        <v>222</v>
      </c>
    </row>
    <row r="11" customFormat="false" ht="15" hidden="false" customHeight="false" outlineLevel="0" collapsed="false">
      <c r="A11" s="45" t="n">
        <v>7</v>
      </c>
      <c r="B11" s="45" t="s">
        <v>239</v>
      </c>
      <c r="C11" s="45" t="s">
        <v>218</v>
      </c>
      <c r="D11" s="45" t="s">
        <v>219</v>
      </c>
      <c r="E11" s="45" t="s">
        <v>224</v>
      </c>
      <c r="F11" s="45" t="s">
        <v>240</v>
      </c>
      <c r="G11" s="46" t="n">
        <f aca="false">Supuestos!$F$6</f>
        <v>1</v>
      </c>
      <c r="H11" s="45" t="s">
        <v>222</v>
      </c>
    </row>
    <row r="12" customFormat="false" ht="15" hidden="false" customHeight="false" outlineLevel="0" collapsed="false">
      <c r="A12" s="45" t="n">
        <v>8</v>
      </c>
      <c r="B12" s="45" t="s">
        <v>241</v>
      </c>
      <c r="C12" s="45" t="s">
        <v>218</v>
      </c>
      <c r="D12" s="45" t="s">
        <v>228</v>
      </c>
      <c r="E12" s="45" t="s">
        <v>242</v>
      </c>
      <c r="F12" s="45" t="s">
        <v>243</v>
      </c>
      <c r="G12" s="46" t="n">
        <f aca="false">Supuestos!$F$6</f>
        <v>1</v>
      </c>
      <c r="H12" s="45" t="s">
        <v>244</v>
      </c>
    </row>
    <row r="13" customFormat="false" ht="15" hidden="false" customHeight="false" outlineLevel="0" collapsed="false">
      <c r="A13" s="45" t="n">
        <v>9</v>
      </c>
      <c r="B13" s="45" t="s">
        <v>245</v>
      </c>
      <c r="C13" s="45" t="s">
        <v>246</v>
      </c>
      <c r="D13" s="45" t="s">
        <v>219</v>
      </c>
      <c r="E13" s="45" t="s">
        <v>247</v>
      </c>
      <c r="F13" s="45" t="s">
        <v>248</v>
      </c>
      <c r="G13" s="46" t="n">
        <f aca="false">Supuestos!$F$7</f>
        <v>1.5</v>
      </c>
      <c r="H13" s="45" t="s">
        <v>249</v>
      </c>
    </row>
    <row r="14" customFormat="false" ht="15" hidden="false" customHeight="false" outlineLevel="0" collapsed="false">
      <c r="A14" s="45" t="n">
        <v>10</v>
      </c>
      <c r="B14" s="45" t="s">
        <v>245</v>
      </c>
      <c r="C14" s="45" t="s">
        <v>246</v>
      </c>
      <c r="D14" s="45" t="s">
        <v>250</v>
      </c>
      <c r="E14" s="45" t="s">
        <v>251</v>
      </c>
      <c r="F14" s="45" t="s">
        <v>248</v>
      </c>
      <c r="G14" s="46" t="n">
        <f aca="false">Supuestos!$F$8</f>
        <v>2</v>
      </c>
      <c r="H14" s="45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252</v>
      </c>
    </row>
    <row r="2" customFormat="false" ht="15" hidden="false" customHeight="false" outlineLevel="0" collapsed="false">
      <c r="A2" s="2" t="s">
        <v>253</v>
      </c>
    </row>
    <row r="4" customFormat="false" ht="15" hidden="false" customHeight="false" outlineLevel="0" collapsed="false">
      <c r="A4" s="8" t="s">
        <v>35</v>
      </c>
      <c r="B4" s="8" t="s">
        <v>254</v>
      </c>
      <c r="C4" s="8" t="s">
        <v>255</v>
      </c>
      <c r="D4" s="8" t="s">
        <v>36</v>
      </c>
      <c r="E4" s="8" t="s">
        <v>145</v>
      </c>
    </row>
    <row r="5" customFormat="false" ht="15" hidden="false" customHeight="false" outlineLevel="0" collapsed="false">
      <c r="A5" s="45" t="s">
        <v>50</v>
      </c>
      <c r="B5" s="45" t="s">
        <v>51</v>
      </c>
      <c r="C5" s="45" t="s">
        <v>256</v>
      </c>
      <c r="D5" s="47" t="s">
        <v>52</v>
      </c>
      <c r="E5" s="47" t="n">
        <v>1</v>
      </c>
    </row>
    <row r="6" customFormat="false" ht="15" hidden="false" customHeight="false" outlineLevel="0" collapsed="false">
      <c r="A6" s="45" t="s">
        <v>53</v>
      </c>
      <c r="B6" s="45" t="s">
        <v>54</v>
      </c>
      <c r="C6" s="45" t="s">
        <v>257</v>
      </c>
      <c r="D6" s="47" t="s">
        <v>52</v>
      </c>
      <c r="E6" s="47" t="n">
        <v>1</v>
      </c>
    </row>
    <row r="7" customFormat="false" ht="15" hidden="false" customHeight="false" outlineLevel="0" collapsed="false">
      <c r="A7" s="45" t="s">
        <v>55</v>
      </c>
      <c r="B7" s="45" t="s">
        <v>56</v>
      </c>
      <c r="C7" s="45" t="s">
        <v>258</v>
      </c>
      <c r="D7" s="47" t="s">
        <v>52</v>
      </c>
      <c r="E7" s="47" t="n">
        <v>1</v>
      </c>
    </row>
    <row r="8" customFormat="false" ht="15" hidden="false" customHeight="false" outlineLevel="0" collapsed="false">
      <c r="A8" s="45" t="s">
        <v>57</v>
      </c>
      <c r="B8" s="45" t="s">
        <v>58</v>
      </c>
      <c r="C8" s="45" t="s">
        <v>259</v>
      </c>
      <c r="D8" s="47" t="s">
        <v>52</v>
      </c>
      <c r="E8" s="47" t="n">
        <v>1</v>
      </c>
    </row>
    <row r="9" customFormat="false" ht="15" hidden="false" customHeight="false" outlineLevel="0" collapsed="false">
      <c r="A9" s="45" t="s">
        <v>59</v>
      </c>
      <c r="B9" s="45" t="s">
        <v>60</v>
      </c>
      <c r="C9" s="45" t="s">
        <v>260</v>
      </c>
      <c r="D9" s="47" t="s">
        <v>52</v>
      </c>
      <c r="E9" s="47" t="n">
        <v>1</v>
      </c>
    </row>
    <row r="10" customFormat="false" ht="15" hidden="false" customHeight="false" outlineLevel="0" collapsed="false">
      <c r="A10" s="45" t="s">
        <v>61</v>
      </c>
      <c r="B10" s="45" t="s">
        <v>62</v>
      </c>
      <c r="C10" s="45" t="s">
        <v>261</v>
      </c>
      <c r="D10" s="47" t="s">
        <v>52</v>
      </c>
      <c r="E10" s="47" t="n">
        <v>1</v>
      </c>
    </row>
    <row r="11" customFormat="false" ht="15" hidden="false" customHeight="false" outlineLevel="0" collapsed="false">
      <c r="A11" s="45" t="s">
        <v>63</v>
      </c>
      <c r="B11" s="45" t="s">
        <v>64</v>
      </c>
      <c r="C11" s="45" t="s">
        <v>262</v>
      </c>
      <c r="D11" s="47" t="s">
        <v>52</v>
      </c>
      <c r="E11" s="47" t="n">
        <v>1</v>
      </c>
    </row>
    <row r="12" customFormat="false" ht="15" hidden="false" customHeight="false" outlineLevel="0" collapsed="false">
      <c r="A12" s="45" t="s">
        <v>65</v>
      </c>
      <c r="B12" s="45" t="s">
        <v>66</v>
      </c>
      <c r="C12" s="45" t="s">
        <v>263</v>
      </c>
      <c r="D12" s="47" t="s">
        <v>52</v>
      </c>
      <c r="E12" s="47" t="n">
        <v>1</v>
      </c>
    </row>
    <row r="13" customFormat="false" ht="15" hidden="false" customHeight="false" outlineLevel="0" collapsed="false">
      <c r="A13" s="45" t="s">
        <v>67</v>
      </c>
      <c r="B13" s="45" t="s">
        <v>68</v>
      </c>
      <c r="C13" s="45" t="s">
        <v>264</v>
      </c>
      <c r="D13" s="47" t="s">
        <v>69</v>
      </c>
      <c r="E13" s="47" t="n">
        <v>1</v>
      </c>
    </row>
    <row r="14" customFormat="false" ht="15" hidden="false" customHeight="false" outlineLevel="0" collapsed="false">
      <c r="A14" s="45" t="s">
        <v>70</v>
      </c>
      <c r="B14" s="45" t="s">
        <v>71</v>
      </c>
      <c r="C14" s="45" t="s">
        <v>265</v>
      </c>
      <c r="D14" s="47" t="s">
        <v>69</v>
      </c>
      <c r="E14" s="47" t="n">
        <v>1</v>
      </c>
    </row>
    <row r="15" customFormat="false" ht="15" hidden="false" customHeight="false" outlineLevel="0" collapsed="false">
      <c r="A15" s="45" t="s">
        <v>72</v>
      </c>
      <c r="B15" s="45" t="s">
        <v>73</v>
      </c>
      <c r="C15" s="45" t="s">
        <v>266</v>
      </c>
      <c r="D15" s="47" t="s">
        <v>69</v>
      </c>
      <c r="E15" s="47" t="n">
        <v>1</v>
      </c>
    </row>
    <row r="16" customFormat="false" ht="15" hidden="false" customHeight="false" outlineLevel="0" collapsed="false">
      <c r="A16" s="45" t="s">
        <v>74</v>
      </c>
      <c r="B16" s="45" t="s">
        <v>75</v>
      </c>
      <c r="C16" s="45" t="s">
        <v>267</v>
      </c>
      <c r="D16" s="47" t="s">
        <v>69</v>
      </c>
      <c r="E16" s="47" t="n">
        <v>1</v>
      </c>
    </row>
    <row r="17" customFormat="false" ht="15" hidden="false" customHeight="false" outlineLevel="0" collapsed="false">
      <c r="A17" s="45" t="s">
        <v>76</v>
      </c>
      <c r="B17" s="45" t="s">
        <v>77</v>
      </c>
      <c r="C17" s="45" t="s">
        <v>268</v>
      </c>
      <c r="D17" s="47" t="s">
        <v>69</v>
      </c>
      <c r="E17" s="47" t="n">
        <v>1</v>
      </c>
    </row>
    <row r="18" customFormat="false" ht="15" hidden="false" customHeight="false" outlineLevel="0" collapsed="false">
      <c r="A18" s="45" t="s">
        <v>78</v>
      </c>
      <c r="B18" s="45" t="s">
        <v>79</v>
      </c>
      <c r="C18" s="45" t="s">
        <v>269</v>
      </c>
      <c r="D18" s="47" t="s">
        <v>69</v>
      </c>
      <c r="E18" s="47" t="n">
        <v>1</v>
      </c>
    </row>
    <row r="19" customFormat="false" ht="15" hidden="false" customHeight="false" outlineLevel="0" collapsed="false">
      <c r="A19" s="45" t="s">
        <v>80</v>
      </c>
      <c r="B19" s="45" t="s">
        <v>81</v>
      </c>
      <c r="C19" s="45" t="s">
        <v>267</v>
      </c>
      <c r="D19" s="47" t="s">
        <v>69</v>
      </c>
      <c r="E19" s="47" t="n">
        <v>1</v>
      </c>
    </row>
    <row r="20" customFormat="false" ht="15" hidden="false" customHeight="false" outlineLevel="0" collapsed="false">
      <c r="A20" s="45" t="s">
        <v>82</v>
      </c>
      <c r="B20" s="45" t="s">
        <v>83</v>
      </c>
      <c r="C20" s="45" t="s">
        <v>270</v>
      </c>
      <c r="D20" s="47" t="s">
        <v>69</v>
      </c>
      <c r="E20" s="47" t="n">
        <v>1</v>
      </c>
    </row>
    <row r="21" customFormat="false" ht="15" hidden="false" customHeight="false" outlineLevel="0" collapsed="false">
      <c r="A21" s="45" t="s">
        <v>84</v>
      </c>
      <c r="B21" s="45" t="s">
        <v>271</v>
      </c>
      <c r="C21" s="45" t="s">
        <v>272</v>
      </c>
      <c r="D21" s="47" t="s">
        <v>86</v>
      </c>
      <c r="E21" s="47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O3" activePane="bottomRight" state="frozen"/>
      <selection pane="topLeft" activeCell="A1" activeCellId="0" sqref="A1"/>
      <selection pane="topRight" activeCell="O1" activeCellId="0" sqref="O1"/>
      <selection pane="bottomLeft" activeCell="A3" activeCellId="0" sqref="A3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1" min="2" style="0" width="6"/>
  </cols>
  <sheetData>
    <row r="1" customFormat="false" ht="15" hidden="false" customHeight="true" outlineLevel="0" collapsed="false">
      <c r="A1" s="48" t="s">
        <v>9</v>
      </c>
      <c r="B1" s="48" t="s">
        <v>273</v>
      </c>
      <c r="C1" s="48"/>
      <c r="D1" s="48"/>
      <c r="E1" s="48"/>
      <c r="F1" s="48" t="s">
        <v>274</v>
      </c>
      <c r="G1" s="48"/>
      <c r="H1" s="48"/>
      <c r="I1" s="48"/>
      <c r="J1" s="48" t="s">
        <v>275</v>
      </c>
      <c r="K1" s="48"/>
      <c r="L1" s="48"/>
      <c r="M1" s="48"/>
      <c r="N1" s="48" t="s">
        <v>276</v>
      </c>
      <c r="O1" s="48"/>
      <c r="P1" s="48"/>
      <c r="Q1" s="48"/>
      <c r="R1" s="48" t="s">
        <v>277</v>
      </c>
      <c r="S1" s="48"/>
      <c r="T1" s="48"/>
      <c r="U1" s="48"/>
      <c r="V1" s="48" t="s">
        <v>278</v>
      </c>
      <c r="W1" s="48"/>
      <c r="X1" s="48"/>
      <c r="Y1" s="48"/>
      <c r="Z1" s="48" t="s">
        <v>279</v>
      </c>
      <c r="AA1" s="48"/>
      <c r="AB1" s="48"/>
      <c r="AC1" s="48"/>
      <c r="AD1" s="48" t="s">
        <v>280</v>
      </c>
      <c r="AE1" s="48"/>
      <c r="AF1" s="48"/>
      <c r="AG1" s="48"/>
      <c r="AH1" s="48" t="s">
        <v>281</v>
      </c>
      <c r="AI1" s="48"/>
      <c r="AJ1" s="48"/>
      <c r="AK1" s="48"/>
      <c r="AL1" s="48" t="s">
        <v>282</v>
      </c>
      <c r="AM1" s="48"/>
      <c r="AN1" s="48"/>
      <c r="AO1" s="48"/>
    </row>
    <row r="2" customFormat="false" ht="15" hidden="false" customHeight="true" outlineLevel="0" collapsed="false">
      <c r="A2" s="49"/>
      <c r="B2" s="50" t="s">
        <v>283</v>
      </c>
      <c r="C2" s="50" t="s">
        <v>284</v>
      </c>
      <c r="D2" s="50" t="s">
        <v>285</v>
      </c>
      <c r="E2" s="50" t="s">
        <v>286</v>
      </c>
      <c r="F2" s="50" t="s">
        <v>283</v>
      </c>
      <c r="G2" s="50" t="s">
        <v>284</v>
      </c>
      <c r="H2" s="50" t="s">
        <v>285</v>
      </c>
      <c r="I2" s="50" t="s">
        <v>286</v>
      </c>
      <c r="J2" s="50" t="s">
        <v>283</v>
      </c>
      <c r="K2" s="50" t="s">
        <v>284</v>
      </c>
      <c r="L2" s="50" t="s">
        <v>285</v>
      </c>
      <c r="M2" s="50" t="s">
        <v>286</v>
      </c>
      <c r="N2" s="50" t="s">
        <v>283</v>
      </c>
      <c r="O2" s="50" t="s">
        <v>284</v>
      </c>
      <c r="P2" s="50" t="s">
        <v>285</v>
      </c>
      <c r="Q2" s="50" t="s">
        <v>286</v>
      </c>
      <c r="R2" s="50" t="s">
        <v>283</v>
      </c>
      <c r="S2" s="50" t="s">
        <v>284</v>
      </c>
      <c r="T2" s="50" t="s">
        <v>285</v>
      </c>
      <c r="U2" s="50" t="s">
        <v>286</v>
      </c>
      <c r="V2" s="50" t="s">
        <v>283</v>
      </c>
      <c r="W2" s="50" t="s">
        <v>284</v>
      </c>
      <c r="X2" s="50" t="s">
        <v>285</v>
      </c>
      <c r="Y2" s="50" t="s">
        <v>286</v>
      </c>
      <c r="Z2" s="50" t="s">
        <v>283</v>
      </c>
      <c r="AA2" s="50" t="s">
        <v>284</v>
      </c>
      <c r="AB2" s="50" t="s">
        <v>285</v>
      </c>
      <c r="AC2" s="50" t="s">
        <v>286</v>
      </c>
      <c r="AD2" s="50" t="s">
        <v>283</v>
      </c>
      <c r="AE2" s="50" t="s">
        <v>284</v>
      </c>
      <c r="AF2" s="50" t="s">
        <v>285</v>
      </c>
      <c r="AG2" s="50" t="s">
        <v>286</v>
      </c>
      <c r="AH2" s="50" t="s">
        <v>283</v>
      </c>
      <c r="AI2" s="50" t="s">
        <v>284</v>
      </c>
      <c r="AJ2" s="50" t="s">
        <v>285</v>
      </c>
      <c r="AK2" s="50" t="s">
        <v>286</v>
      </c>
      <c r="AL2" s="50" t="s">
        <v>283</v>
      </c>
      <c r="AM2" s="50" t="s">
        <v>284</v>
      </c>
      <c r="AN2" s="50" t="s">
        <v>285</v>
      </c>
      <c r="AO2" s="50" t="s">
        <v>286</v>
      </c>
    </row>
    <row r="3" customFormat="false" ht="15" hidden="false" customHeight="true" outlineLevel="0" collapsed="false">
      <c r="A3" s="51" t="s">
        <v>51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 t="n">
        <v>7</v>
      </c>
      <c r="AA3" s="52" t="n">
        <v>0</v>
      </c>
      <c r="AB3" s="52" t="n">
        <v>83.3</v>
      </c>
      <c r="AC3" s="52" t="n">
        <v>74.9</v>
      </c>
      <c r="AD3" s="52" t="n">
        <v>8</v>
      </c>
      <c r="AE3" s="52" t="n">
        <v>0</v>
      </c>
      <c r="AF3" s="52" t="n">
        <v>84.6</v>
      </c>
      <c r="AG3" s="52" t="n">
        <v>77.9</v>
      </c>
      <c r="AH3" s="52" t="n">
        <v>7</v>
      </c>
      <c r="AI3" s="52" t="n">
        <v>0</v>
      </c>
      <c r="AJ3" s="52" t="n">
        <v>81.4</v>
      </c>
      <c r="AK3" s="52" t="n">
        <v>75.9</v>
      </c>
      <c r="AL3" s="52" t="n">
        <v>7</v>
      </c>
      <c r="AM3" s="52" t="n">
        <v>0</v>
      </c>
      <c r="AN3" s="52" t="n">
        <v>86.9</v>
      </c>
      <c r="AO3" s="52" t="n">
        <v>78.3</v>
      </c>
    </row>
    <row r="4" customFormat="false" ht="15" hidden="false" customHeight="true" outlineLevel="0" collapsed="false">
      <c r="A4" s="51" t="s">
        <v>54</v>
      </c>
      <c r="B4" s="52"/>
      <c r="C4" s="52"/>
      <c r="D4" s="52"/>
      <c r="E4" s="52"/>
      <c r="F4" s="52" t="n">
        <v>1</v>
      </c>
      <c r="G4" s="52" t="n">
        <v>0</v>
      </c>
      <c r="H4" s="52" t="n">
        <v>88</v>
      </c>
      <c r="I4" s="52" t="n">
        <v>77</v>
      </c>
      <c r="J4" s="52" t="n">
        <v>7</v>
      </c>
      <c r="K4" s="52" t="n">
        <v>2</v>
      </c>
      <c r="L4" s="52" t="n">
        <v>88</v>
      </c>
      <c r="M4" s="52" t="n">
        <v>75.1</v>
      </c>
      <c r="N4" s="52" t="n">
        <v>7</v>
      </c>
      <c r="O4" s="52" t="n">
        <v>0</v>
      </c>
      <c r="P4" s="52" t="n">
        <v>90.3</v>
      </c>
      <c r="Q4" s="52" t="n">
        <v>78.3</v>
      </c>
      <c r="R4" s="52"/>
      <c r="S4" s="52"/>
      <c r="T4" s="52"/>
      <c r="U4" s="52"/>
      <c r="V4" s="52" t="n">
        <v>5</v>
      </c>
      <c r="W4" s="52" t="n">
        <v>0</v>
      </c>
      <c r="X4" s="52" t="n">
        <v>91.8</v>
      </c>
      <c r="Y4" s="52" t="n">
        <v>80</v>
      </c>
      <c r="Z4" s="52" t="n">
        <v>8</v>
      </c>
      <c r="AA4" s="52" t="n">
        <v>0</v>
      </c>
      <c r="AB4" s="52" t="n">
        <v>93</v>
      </c>
      <c r="AC4" s="52" t="n">
        <v>78.8</v>
      </c>
      <c r="AD4" s="52" t="n">
        <v>7</v>
      </c>
      <c r="AE4" s="52" t="n">
        <v>1</v>
      </c>
      <c r="AF4" s="52" t="n">
        <v>94</v>
      </c>
      <c r="AG4" s="52" t="n">
        <v>78.3</v>
      </c>
      <c r="AH4" s="52" t="n">
        <v>9</v>
      </c>
      <c r="AI4" s="52" t="n">
        <v>2</v>
      </c>
      <c r="AJ4" s="52" t="n">
        <v>89.1</v>
      </c>
      <c r="AK4" s="52" t="n">
        <v>75.1</v>
      </c>
      <c r="AL4" s="52" t="n">
        <v>9</v>
      </c>
      <c r="AM4" s="52" t="n">
        <v>1</v>
      </c>
      <c r="AN4" s="52" t="n">
        <v>87.9</v>
      </c>
      <c r="AO4" s="52" t="n">
        <v>76.3</v>
      </c>
    </row>
    <row r="5" customFormat="false" ht="15" hidden="false" customHeight="true" outlineLevel="0" collapsed="false">
      <c r="A5" s="51" t="s">
        <v>56</v>
      </c>
      <c r="B5" s="52" t="n">
        <v>4</v>
      </c>
      <c r="C5" s="52" t="n">
        <v>0</v>
      </c>
      <c r="D5" s="52"/>
      <c r="E5" s="52"/>
      <c r="F5" s="52" t="n">
        <v>6</v>
      </c>
      <c r="G5" s="52" t="n">
        <v>1</v>
      </c>
      <c r="H5" s="52" t="n">
        <v>93.3</v>
      </c>
      <c r="I5" s="52" t="n">
        <v>81.8</v>
      </c>
      <c r="J5" s="52" t="n">
        <v>7</v>
      </c>
      <c r="K5" s="52" t="n">
        <v>0</v>
      </c>
      <c r="L5" s="52" t="n">
        <v>95.9</v>
      </c>
      <c r="M5" s="52" t="n">
        <v>81.6</v>
      </c>
      <c r="N5" s="52"/>
      <c r="O5" s="52"/>
      <c r="P5" s="52"/>
      <c r="Q5" s="52"/>
      <c r="R5" s="52"/>
      <c r="S5" s="52"/>
      <c r="T5" s="52"/>
      <c r="U5" s="52"/>
      <c r="V5" s="52" t="n">
        <v>3</v>
      </c>
      <c r="W5" s="52" t="n">
        <v>1</v>
      </c>
      <c r="X5" s="52" t="n">
        <v>90.7</v>
      </c>
      <c r="Y5" s="52" t="n">
        <v>72.7</v>
      </c>
      <c r="Z5" s="52" t="n">
        <v>9</v>
      </c>
      <c r="AA5" s="52" t="n">
        <v>1</v>
      </c>
      <c r="AB5" s="52" t="n">
        <v>86.9</v>
      </c>
      <c r="AC5" s="52" t="n">
        <v>74.3</v>
      </c>
      <c r="AD5" s="52" t="n">
        <v>8</v>
      </c>
      <c r="AE5" s="52" t="n">
        <v>0</v>
      </c>
      <c r="AF5" s="52" t="n">
        <v>90.6</v>
      </c>
      <c r="AG5" s="52" t="n">
        <v>80.5</v>
      </c>
      <c r="AH5" s="52" t="n">
        <v>9</v>
      </c>
      <c r="AI5" s="52" t="n">
        <v>0</v>
      </c>
      <c r="AJ5" s="52" t="n">
        <v>90.4</v>
      </c>
      <c r="AK5" s="52" t="n">
        <v>80.6</v>
      </c>
      <c r="AL5" s="52" t="n">
        <v>10</v>
      </c>
      <c r="AM5" s="52" t="n">
        <v>1</v>
      </c>
      <c r="AN5" s="52" t="n">
        <v>88.4</v>
      </c>
      <c r="AO5" s="52" t="n">
        <v>75.5</v>
      </c>
    </row>
    <row r="6" customFormat="false" ht="15" hidden="false" customHeight="true" outlineLevel="0" collapsed="false">
      <c r="A6" s="51" t="s">
        <v>58</v>
      </c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 t="n">
        <v>8</v>
      </c>
      <c r="W6" s="52" t="n">
        <v>1</v>
      </c>
      <c r="X6" s="52" t="n">
        <v>95.8</v>
      </c>
      <c r="Y6" s="52" t="n">
        <v>77.4</v>
      </c>
      <c r="Z6" s="52" t="n">
        <v>5</v>
      </c>
      <c r="AA6" s="52" t="n">
        <v>0</v>
      </c>
      <c r="AB6" s="52" t="n">
        <v>101.4</v>
      </c>
      <c r="AC6" s="52" t="n">
        <v>83.2</v>
      </c>
      <c r="AD6" s="52" t="n">
        <v>7</v>
      </c>
      <c r="AE6" s="52" t="n">
        <v>0</v>
      </c>
      <c r="AF6" s="52" t="n">
        <v>97.7</v>
      </c>
      <c r="AG6" s="52" t="n">
        <v>80</v>
      </c>
      <c r="AH6" s="52" t="n">
        <v>9</v>
      </c>
      <c r="AI6" s="52" t="n">
        <v>1</v>
      </c>
      <c r="AJ6" s="52" t="n">
        <v>90.9</v>
      </c>
      <c r="AK6" s="52" t="n">
        <v>75</v>
      </c>
      <c r="AL6" s="52" t="n">
        <v>10</v>
      </c>
      <c r="AM6" s="52" t="n">
        <v>2</v>
      </c>
      <c r="AN6" s="52" t="n">
        <v>91.3</v>
      </c>
      <c r="AO6" s="52" t="n">
        <v>75.5</v>
      </c>
    </row>
    <row r="7" customFormat="false" ht="15" hidden="false" customHeight="true" outlineLevel="0" collapsed="false">
      <c r="A7" s="51" t="s">
        <v>60</v>
      </c>
      <c r="B7" s="52" t="n">
        <v>4</v>
      </c>
      <c r="C7" s="52" t="n">
        <v>0</v>
      </c>
      <c r="D7" s="52" t="n">
        <v>124</v>
      </c>
      <c r="E7" s="52"/>
      <c r="F7" s="52" t="n">
        <v>6</v>
      </c>
      <c r="G7" s="52" t="n">
        <v>0</v>
      </c>
      <c r="H7" s="52" t="n">
        <v>105.3</v>
      </c>
      <c r="I7" s="52" t="n">
        <v>78.3</v>
      </c>
      <c r="J7" s="52" t="n">
        <v>8</v>
      </c>
      <c r="K7" s="52" t="n">
        <v>2</v>
      </c>
      <c r="L7" s="52" t="n">
        <v>107</v>
      </c>
      <c r="M7" s="52" t="n">
        <v>80</v>
      </c>
      <c r="N7" s="52" t="n">
        <v>7</v>
      </c>
      <c r="O7" s="52" t="n">
        <v>2</v>
      </c>
      <c r="P7" s="52" t="n">
        <v>101.3</v>
      </c>
      <c r="Q7" s="52" t="n">
        <v>75.3</v>
      </c>
      <c r="R7" s="52"/>
      <c r="S7" s="52"/>
      <c r="T7" s="52"/>
      <c r="U7" s="52"/>
      <c r="V7" s="52" t="n">
        <v>6</v>
      </c>
      <c r="W7" s="52" t="n">
        <v>0</v>
      </c>
      <c r="X7" s="52" t="n">
        <v>102.2</v>
      </c>
      <c r="Y7" s="52" t="n">
        <v>78.3</v>
      </c>
      <c r="Z7" s="52" t="n">
        <v>7</v>
      </c>
      <c r="AA7" s="52" t="n">
        <v>0</v>
      </c>
      <c r="AB7" s="52" t="n">
        <v>101.7</v>
      </c>
      <c r="AC7" s="52" t="n">
        <v>79.1</v>
      </c>
      <c r="AD7" s="52" t="n">
        <v>9</v>
      </c>
      <c r="AE7" s="52" t="n">
        <v>3</v>
      </c>
      <c r="AF7" s="52" t="n">
        <v>95.9</v>
      </c>
      <c r="AG7" s="52" t="n">
        <v>73.4</v>
      </c>
      <c r="AH7" s="52" t="n">
        <v>10</v>
      </c>
      <c r="AI7" s="52" t="n">
        <v>1</v>
      </c>
      <c r="AJ7" s="52" t="n">
        <v>94.9</v>
      </c>
      <c r="AK7" s="52" t="n">
        <v>77.3</v>
      </c>
      <c r="AL7" s="52" t="n">
        <v>9</v>
      </c>
      <c r="AM7" s="52" t="n">
        <v>1</v>
      </c>
      <c r="AN7" s="52" t="n">
        <v>95.9</v>
      </c>
      <c r="AO7" s="52" t="n">
        <v>80.7</v>
      </c>
    </row>
    <row r="8" customFormat="false" ht="15" hidden="false" customHeight="true" outlineLevel="0" collapsed="false">
      <c r="A8" s="51" t="s">
        <v>62</v>
      </c>
      <c r="B8" s="52" t="n">
        <v>4</v>
      </c>
      <c r="C8" s="52" t="n">
        <v>0</v>
      </c>
      <c r="D8" s="52" t="n">
        <v>105</v>
      </c>
      <c r="E8" s="52"/>
      <c r="F8" s="52" t="n">
        <v>5</v>
      </c>
      <c r="G8" s="52" t="n">
        <v>0</v>
      </c>
      <c r="H8" s="52" t="n">
        <v>104.6</v>
      </c>
      <c r="I8" s="52" t="n">
        <v>81.6</v>
      </c>
      <c r="J8" s="52" t="n">
        <v>8</v>
      </c>
      <c r="K8" s="52" t="n">
        <v>1</v>
      </c>
      <c r="L8" s="52" t="n">
        <v>103.9</v>
      </c>
      <c r="M8" s="52" t="n">
        <v>79.1</v>
      </c>
      <c r="N8" s="52" t="n">
        <v>6</v>
      </c>
      <c r="O8" s="52" t="n">
        <v>0</v>
      </c>
      <c r="P8" s="52" t="n">
        <v>107.3</v>
      </c>
      <c r="Q8" s="52" t="n">
        <v>83.2</v>
      </c>
      <c r="R8" s="52"/>
      <c r="S8" s="52"/>
      <c r="T8" s="52"/>
      <c r="U8" s="52"/>
      <c r="V8" s="52" t="n">
        <v>9</v>
      </c>
      <c r="W8" s="52" t="n">
        <v>1</v>
      </c>
      <c r="X8" s="52" t="n">
        <v>101</v>
      </c>
      <c r="Y8" s="52" t="n">
        <v>76.1</v>
      </c>
      <c r="Z8" s="52" t="n">
        <v>7</v>
      </c>
      <c r="AA8" s="52" t="n">
        <v>0</v>
      </c>
      <c r="AB8" s="52" t="n">
        <v>100.9</v>
      </c>
      <c r="AC8" s="52" t="n">
        <v>75.1</v>
      </c>
      <c r="AD8" s="52" t="n">
        <v>8</v>
      </c>
      <c r="AE8" s="52" t="n">
        <v>1</v>
      </c>
      <c r="AF8" s="52" t="n">
        <v>100</v>
      </c>
      <c r="AG8" s="52" t="n">
        <v>75.2</v>
      </c>
      <c r="AH8" s="52" t="n">
        <v>10</v>
      </c>
      <c r="AI8" s="52" t="n">
        <v>1</v>
      </c>
      <c r="AJ8" s="52" t="n">
        <v>99</v>
      </c>
      <c r="AK8" s="52" t="n">
        <v>77</v>
      </c>
      <c r="AL8" s="52" t="n">
        <v>8</v>
      </c>
      <c r="AM8" s="52" t="n">
        <v>0</v>
      </c>
      <c r="AN8" s="52" t="n">
        <v>98.1</v>
      </c>
      <c r="AO8" s="52" t="n">
        <v>78.6</v>
      </c>
    </row>
    <row r="9" customFormat="false" ht="15" hidden="false" customHeight="true" outlineLevel="0" collapsed="false">
      <c r="A9" s="51" t="s">
        <v>64</v>
      </c>
      <c r="B9" s="52" t="n">
        <v>4</v>
      </c>
      <c r="C9" s="52" t="n">
        <v>0</v>
      </c>
      <c r="D9" s="52" t="n">
        <v>112.3</v>
      </c>
      <c r="E9" s="52"/>
      <c r="F9" s="52" t="n">
        <v>7</v>
      </c>
      <c r="G9" s="52" t="n">
        <v>0</v>
      </c>
      <c r="H9" s="52" t="n">
        <v>100.9</v>
      </c>
      <c r="I9" s="52" t="n">
        <v>76.7</v>
      </c>
      <c r="J9" s="52" t="n">
        <v>8</v>
      </c>
      <c r="K9" s="52" t="n">
        <v>0</v>
      </c>
      <c r="L9" s="52" t="n">
        <v>101.2</v>
      </c>
      <c r="M9" s="52" t="n">
        <v>78.2</v>
      </c>
      <c r="N9" s="52" t="n">
        <v>6</v>
      </c>
      <c r="O9" s="52" t="n">
        <v>0</v>
      </c>
      <c r="P9" s="52" t="n">
        <v>105</v>
      </c>
      <c r="Q9" s="52" t="n">
        <v>82.7</v>
      </c>
      <c r="R9" s="52"/>
      <c r="S9" s="52"/>
      <c r="T9" s="52"/>
      <c r="U9" s="52"/>
      <c r="V9" s="52" t="n">
        <v>5</v>
      </c>
      <c r="W9" s="52" t="n">
        <v>0</v>
      </c>
      <c r="X9" s="52" t="n">
        <v>103.6</v>
      </c>
      <c r="Y9" s="52" t="n">
        <v>78.8</v>
      </c>
      <c r="Z9" s="52" t="n">
        <v>6</v>
      </c>
      <c r="AA9" s="52" t="n">
        <v>0</v>
      </c>
      <c r="AB9" s="52" t="n">
        <v>102.5</v>
      </c>
      <c r="AC9" s="52" t="n">
        <v>77.5</v>
      </c>
      <c r="AD9" s="52" t="n">
        <v>9</v>
      </c>
      <c r="AE9" s="52" t="n">
        <v>0</v>
      </c>
      <c r="AF9" s="52" t="n">
        <v>98.6</v>
      </c>
      <c r="AG9" s="52" t="n">
        <v>77.4</v>
      </c>
      <c r="AH9" s="52" t="n">
        <v>8</v>
      </c>
      <c r="AI9" s="52" t="n">
        <v>1</v>
      </c>
      <c r="AJ9" s="52" t="n">
        <v>97</v>
      </c>
      <c r="AK9" s="52" t="n">
        <v>76.6</v>
      </c>
      <c r="AL9" s="52" t="n">
        <v>10</v>
      </c>
      <c r="AM9" s="52" t="n">
        <v>0</v>
      </c>
      <c r="AN9" s="52" t="n">
        <v>98.9</v>
      </c>
      <c r="AO9" s="52" t="n">
        <v>78.7</v>
      </c>
    </row>
    <row r="10" customFormat="false" ht="15" hidden="false" customHeight="true" outlineLevel="0" collapsed="false">
      <c r="A10" s="51" t="s">
        <v>66</v>
      </c>
      <c r="B10" s="52"/>
      <c r="C10" s="52"/>
      <c r="D10" s="52"/>
      <c r="E10" s="52"/>
      <c r="F10" s="52" t="n">
        <v>2</v>
      </c>
      <c r="G10" s="52" t="n">
        <v>0</v>
      </c>
      <c r="H10" s="52" t="n">
        <v>118.5</v>
      </c>
      <c r="I10" s="52" t="n">
        <v>93.5</v>
      </c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 t="n">
        <v>7</v>
      </c>
      <c r="AA10" s="52" t="n">
        <v>0</v>
      </c>
      <c r="AB10" s="52" t="n">
        <v>108.4</v>
      </c>
      <c r="AC10" s="52" t="n">
        <v>82.9</v>
      </c>
      <c r="AD10" s="52" t="n">
        <v>7</v>
      </c>
      <c r="AE10" s="52" t="n">
        <v>0</v>
      </c>
      <c r="AF10" s="52" t="n">
        <v>103.1</v>
      </c>
      <c r="AG10" s="52" t="n">
        <v>77.1</v>
      </c>
      <c r="AH10" s="52" t="n">
        <v>6</v>
      </c>
      <c r="AI10" s="52" t="n">
        <v>0</v>
      </c>
      <c r="AJ10" s="52" t="n">
        <v>102.2</v>
      </c>
      <c r="AK10" s="52" t="n">
        <v>77</v>
      </c>
      <c r="AL10" s="52" t="n">
        <v>6</v>
      </c>
      <c r="AM10" s="52" t="n">
        <v>0</v>
      </c>
      <c r="AN10" s="52" t="n">
        <v>100</v>
      </c>
      <c r="AO10" s="52" t="n">
        <v>78</v>
      </c>
    </row>
    <row r="11" customFormat="false" ht="15" hidden="false" customHeight="true" outlineLevel="0" collapsed="false">
      <c r="A11" s="51" t="s">
        <v>68</v>
      </c>
      <c r="B11" s="52" t="n">
        <v>4</v>
      </c>
      <c r="C11" s="52" t="n">
        <v>1</v>
      </c>
      <c r="D11" s="52" t="n">
        <v>97.5</v>
      </c>
      <c r="E11" s="52"/>
      <c r="F11" s="52" t="n">
        <v>7</v>
      </c>
      <c r="G11" s="52" t="n">
        <v>2</v>
      </c>
      <c r="H11" s="52" t="n">
        <v>94.4</v>
      </c>
      <c r="I11" s="52" t="n">
        <v>75.9</v>
      </c>
      <c r="J11" s="52" t="n">
        <v>8</v>
      </c>
      <c r="K11" s="52" t="n">
        <v>1</v>
      </c>
      <c r="L11" s="52" t="n">
        <v>95.1</v>
      </c>
      <c r="M11" s="52" t="n">
        <v>81.1</v>
      </c>
      <c r="N11" s="52" t="n">
        <v>8</v>
      </c>
      <c r="O11" s="52" t="n">
        <v>0</v>
      </c>
      <c r="P11" s="52" t="n">
        <v>90</v>
      </c>
      <c r="Q11" s="52" t="n">
        <v>77.4</v>
      </c>
      <c r="R11" s="52"/>
      <c r="S11" s="52"/>
      <c r="T11" s="52"/>
      <c r="U11" s="52"/>
      <c r="V11" s="52" t="n">
        <v>8</v>
      </c>
      <c r="W11" s="52" t="n">
        <v>2</v>
      </c>
      <c r="X11" s="52" t="n">
        <v>84.8</v>
      </c>
      <c r="Y11" s="52" t="n">
        <v>74.4</v>
      </c>
      <c r="Z11" s="52" t="n">
        <v>7</v>
      </c>
      <c r="AA11" s="52" t="n">
        <v>0</v>
      </c>
      <c r="AB11" s="52" t="n">
        <v>87.7</v>
      </c>
      <c r="AC11" s="52" t="n">
        <v>76.4</v>
      </c>
      <c r="AD11" s="52" t="n">
        <v>9</v>
      </c>
      <c r="AE11" s="52" t="n">
        <v>0</v>
      </c>
      <c r="AF11" s="52" t="n">
        <v>84.8</v>
      </c>
      <c r="AG11" s="52" t="n">
        <v>75.7</v>
      </c>
      <c r="AH11" s="52" t="n">
        <v>9</v>
      </c>
      <c r="AI11" s="52" t="n">
        <v>0</v>
      </c>
      <c r="AJ11" s="52" t="n">
        <v>87.2</v>
      </c>
      <c r="AK11" s="52" t="n">
        <v>78</v>
      </c>
      <c r="AL11" s="52" t="n">
        <v>9</v>
      </c>
      <c r="AM11" s="52" t="n">
        <v>1</v>
      </c>
      <c r="AN11" s="52" t="n">
        <v>85.9</v>
      </c>
      <c r="AO11" s="52" t="n">
        <v>76</v>
      </c>
    </row>
    <row r="12" customFormat="false" ht="15" hidden="false" customHeight="true" outlineLevel="0" collapsed="false">
      <c r="A12" s="51" t="s">
        <v>71</v>
      </c>
      <c r="B12" s="52" t="n">
        <v>4</v>
      </c>
      <c r="C12" s="52" t="n">
        <v>0</v>
      </c>
      <c r="D12" s="52" t="n">
        <v>98.7</v>
      </c>
      <c r="E12" s="52"/>
      <c r="F12" s="52" t="n">
        <v>7</v>
      </c>
      <c r="G12" s="52" t="n">
        <v>0</v>
      </c>
      <c r="H12" s="52" t="n">
        <v>94.9</v>
      </c>
      <c r="I12" s="52" t="n">
        <v>79.3</v>
      </c>
      <c r="J12" s="52" t="n">
        <v>8</v>
      </c>
      <c r="K12" s="52" t="n">
        <v>1</v>
      </c>
      <c r="L12" s="52" t="n">
        <v>93.4</v>
      </c>
      <c r="M12" s="52" t="n">
        <v>77.1</v>
      </c>
      <c r="N12" s="52" t="n">
        <v>8</v>
      </c>
      <c r="O12" s="52" t="n">
        <v>2</v>
      </c>
      <c r="P12" s="52" t="n">
        <v>92.4</v>
      </c>
      <c r="Q12" s="52" t="n">
        <v>76.6</v>
      </c>
      <c r="R12" s="52"/>
      <c r="S12" s="52"/>
      <c r="T12" s="52"/>
      <c r="U12" s="52"/>
      <c r="V12" s="52" t="n">
        <v>9</v>
      </c>
      <c r="W12" s="52" t="n">
        <v>1</v>
      </c>
      <c r="X12" s="52" t="n">
        <v>88.4</v>
      </c>
      <c r="Y12" s="52" t="n">
        <v>76</v>
      </c>
      <c r="Z12" s="52" t="n">
        <v>9</v>
      </c>
      <c r="AA12" s="52" t="n">
        <v>2</v>
      </c>
      <c r="AB12" s="52" t="n">
        <v>88.3</v>
      </c>
      <c r="AC12" s="52" t="n">
        <v>76.9</v>
      </c>
      <c r="AD12" s="52" t="n">
        <v>9</v>
      </c>
      <c r="AE12" s="52" t="n">
        <v>2</v>
      </c>
      <c r="AF12" s="52" t="n">
        <v>82.6</v>
      </c>
      <c r="AG12" s="52" t="n">
        <v>74.9</v>
      </c>
      <c r="AH12" s="52" t="n">
        <v>7</v>
      </c>
      <c r="AI12" s="52" t="n">
        <v>0</v>
      </c>
      <c r="AJ12" s="52" t="n">
        <v>87.4</v>
      </c>
      <c r="AK12" s="52" t="n">
        <v>80.3</v>
      </c>
      <c r="AL12" s="52" t="n">
        <v>10</v>
      </c>
      <c r="AM12" s="52" t="n">
        <v>0</v>
      </c>
      <c r="AN12" s="52" t="n">
        <v>91</v>
      </c>
      <c r="AO12" s="52" t="n">
        <v>80.9</v>
      </c>
    </row>
    <row r="13" customFormat="false" ht="15" hidden="false" customHeight="true" outlineLevel="0" collapsed="false">
      <c r="A13" s="51" t="s">
        <v>73</v>
      </c>
      <c r="B13" s="52" t="n">
        <v>4</v>
      </c>
      <c r="C13" s="52" t="n">
        <v>0</v>
      </c>
      <c r="D13" s="52" t="n">
        <v>95.3</v>
      </c>
      <c r="E13" s="52"/>
      <c r="F13" s="52" t="n">
        <v>8</v>
      </c>
      <c r="G13" s="52" t="n">
        <v>0</v>
      </c>
      <c r="H13" s="52" t="n">
        <v>97.6</v>
      </c>
      <c r="I13" s="52" t="n">
        <v>80.2</v>
      </c>
      <c r="J13" s="52" t="n">
        <v>7</v>
      </c>
      <c r="K13" s="52" t="n">
        <v>0</v>
      </c>
      <c r="L13" s="52" t="n">
        <v>96.6</v>
      </c>
      <c r="M13" s="52" t="n">
        <v>77.1</v>
      </c>
      <c r="N13" s="52" t="n">
        <v>8</v>
      </c>
      <c r="O13" s="52" t="n">
        <v>2</v>
      </c>
      <c r="P13" s="52" t="n">
        <v>92.4</v>
      </c>
      <c r="Q13" s="52" t="n">
        <v>73.2</v>
      </c>
      <c r="R13" s="52"/>
      <c r="S13" s="52"/>
      <c r="T13" s="52"/>
      <c r="U13" s="52"/>
      <c r="V13" s="52" t="n">
        <v>5</v>
      </c>
      <c r="W13" s="52" t="n">
        <v>1</v>
      </c>
      <c r="X13" s="52" t="n">
        <v>93</v>
      </c>
      <c r="Y13" s="52" t="n">
        <v>76.2</v>
      </c>
      <c r="Z13" s="52" t="n">
        <v>7</v>
      </c>
      <c r="AA13" s="52" t="n">
        <v>1</v>
      </c>
      <c r="AB13" s="52" t="n">
        <v>93.9</v>
      </c>
      <c r="AC13" s="52" t="n">
        <v>76.1</v>
      </c>
      <c r="AD13" s="52" t="n">
        <v>7</v>
      </c>
      <c r="AE13" s="52" t="n">
        <v>1</v>
      </c>
      <c r="AF13" s="52" t="n">
        <v>92</v>
      </c>
      <c r="AG13" s="52" t="n">
        <v>77.3</v>
      </c>
      <c r="AH13" s="52" t="n">
        <v>8</v>
      </c>
      <c r="AI13" s="52" t="n">
        <v>0</v>
      </c>
      <c r="AJ13" s="52" t="n">
        <v>94.9</v>
      </c>
      <c r="AK13" s="52" t="n">
        <v>80.5</v>
      </c>
      <c r="AL13" s="52" t="n">
        <v>8</v>
      </c>
      <c r="AM13" s="52" t="n">
        <v>0</v>
      </c>
      <c r="AN13" s="52" t="n">
        <v>95.5</v>
      </c>
      <c r="AO13" s="52" t="n">
        <v>81.2</v>
      </c>
    </row>
    <row r="14" customFormat="false" ht="15" hidden="false" customHeight="true" outlineLevel="0" collapsed="false">
      <c r="A14" s="51" t="s">
        <v>75</v>
      </c>
      <c r="B14" s="52" t="n">
        <v>4</v>
      </c>
      <c r="C14" s="52" t="n">
        <v>0</v>
      </c>
      <c r="D14" s="52" t="n">
        <v>106.7</v>
      </c>
      <c r="E14" s="52"/>
      <c r="F14" s="52" t="n">
        <v>7</v>
      </c>
      <c r="G14" s="52" t="n">
        <v>1</v>
      </c>
      <c r="H14" s="52" t="n">
        <v>96.9</v>
      </c>
      <c r="I14" s="52" t="n">
        <v>80.9</v>
      </c>
      <c r="J14" s="52" t="n">
        <v>5</v>
      </c>
      <c r="K14" s="52" t="n">
        <v>0</v>
      </c>
      <c r="L14" s="52" t="n">
        <v>99</v>
      </c>
      <c r="M14" s="52" t="n">
        <v>82.2</v>
      </c>
      <c r="N14" s="52" t="n">
        <v>7</v>
      </c>
      <c r="O14" s="52" t="n">
        <v>0</v>
      </c>
      <c r="P14" s="52" t="n">
        <v>96.3</v>
      </c>
      <c r="Q14" s="52" t="n">
        <v>78.4</v>
      </c>
      <c r="R14" s="52"/>
      <c r="S14" s="52"/>
      <c r="T14" s="52"/>
      <c r="U14" s="52"/>
      <c r="V14" s="52" t="n">
        <v>8</v>
      </c>
      <c r="W14" s="52" t="n">
        <v>0</v>
      </c>
      <c r="X14" s="52" t="n">
        <v>94.8</v>
      </c>
      <c r="Y14" s="52" t="n">
        <v>76.2</v>
      </c>
      <c r="Z14" s="52" t="n">
        <v>9</v>
      </c>
      <c r="AA14" s="52" t="n">
        <v>4</v>
      </c>
      <c r="AB14" s="52" t="n">
        <v>91.4</v>
      </c>
      <c r="AC14" s="52" t="n">
        <v>73.2</v>
      </c>
      <c r="AD14" s="52" t="n">
        <v>8</v>
      </c>
      <c r="AE14" s="52" t="n">
        <v>1</v>
      </c>
      <c r="AF14" s="52" t="n">
        <v>95.2</v>
      </c>
      <c r="AG14" s="52" t="n">
        <v>80.8</v>
      </c>
      <c r="AH14" s="52" t="n">
        <v>8</v>
      </c>
      <c r="AI14" s="52" t="n">
        <v>1</v>
      </c>
      <c r="AJ14" s="52" t="n">
        <v>93.2</v>
      </c>
      <c r="AK14" s="52" t="n">
        <v>78.2</v>
      </c>
      <c r="AL14" s="52" t="n">
        <v>10</v>
      </c>
      <c r="AM14" s="52" t="n">
        <v>2</v>
      </c>
      <c r="AN14" s="52" t="n">
        <v>92.1</v>
      </c>
      <c r="AO14" s="52" t="n">
        <v>75.6</v>
      </c>
    </row>
    <row r="15" customFormat="false" ht="15" hidden="false" customHeight="true" outlineLevel="0" collapsed="false">
      <c r="A15" s="51" t="s">
        <v>77</v>
      </c>
      <c r="B15" s="52" t="n">
        <v>4</v>
      </c>
      <c r="C15" s="52" t="n">
        <v>1</v>
      </c>
      <c r="D15" s="52" t="n">
        <v>103.3</v>
      </c>
      <c r="E15" s="52"/>
      <c r="F15" s="52" t="n">
        <v>6</v>
      </c>
      <c r="G15" s="52" t="n">
        <v>0</v>
      </c>
      <c r="H15" s="52" t="n">
        <v>105.2</v>
      </c>
      <c r="I15" s="52" t="n">
        <v>85.2</v>
      </c>
      <c r="J15" s="52" t="n">
        <v>7</v>
      </c>
      <c r="K15" s="52" t="n">
        <v>1</v>
      </c>
      <c r="L15" s="52" t="n">
        <v>99.4</v>
      </c>
      <c r="M15" s="52" t="n">
        <v>78.3</v>
      </c>
      <c r="N15" s="52" t="n">
        <v>7</v>
      </c>
      <c r="O15" s="52" t="n">
        <v>0</v>
      </c>
      <c r="P15" s="52" t="n">
        <v>101.7</v>
      </c>
      <c r="Q15" s="52" t="n">
        <v>79.7</v>
      </c>
      <c r="R15" s="52"/>
      <c r="S15" s="52"/>
      <c r="T15" s="52"/>
      <c r="U15" s="52"/>
      <c r="V15" s="52" t="n">
        <v>9</v>
      </c>
      <c r="W15" s="52" t="n">
        <v>1</v>
      </c>
      <c r="X15" s="52" t="n">
        <v>97.6</v>
      </c>
      <c r="Y15" s="52" t="n">
        <v>76.1</v>
      </c>
      <c r="Z15" s="52" t="n">
        <v>7</v>
      </c>
      <c r="AA15" s="52" t="n">
        <v>0</v>
      </c>
      <c r="AB15" s="52" t="n">
        <v>94.6</v>
      </c>
      <c r="AC15" s="52" t="n">
        <v>73.1</v>
      </c>
      <c r="AD15" s="52" t="n">
        <v>9</v>
      </c>
      <c r="AE15" s="52" t="n">
        <v>1</v>
      </c>
      <c r="AF15" s="52" t="n">
        <v>99.1</v>
      </c>
      <c r="AG15" s="52" t="n">
        <v>79.8</v>
      </c>
      <c r="AH15" s="52" t="n">
        <v>10</v>
      </c>
      <c r="AI15" s="52" t="n">
        <v>0</v>
      </c>
      <c r="AJ15" s="52" t="n">
        <v>95</v>
      </c>
      <c r="AK15" s="52" t="n">
        <v>76.5</v>
      </c>
      <c r="AL15" s="52" t="n">
        <v>10</v>
      </c>
      <c r="AM15" s="52" t="n">
        <v>2</v>
      </c>
      <c r="AN15" s="52" t="n">
        <v>95.8</v>
      </c>
      <c r="AO15" s="52" t="n">
        <v>77.9</v>
      </c>
    </row>
    <row r="16" customFormat="false" ht="15" hidden="false" customHeight="true" outlineLevel="0" collapsed="false">
      <c r="A16" s="51" t="s">
        <v>79</v>
      </c>
      <c r="B16" s="52" t="n">
        <v>4</v>
      </c>
      <c r="C16" s="52" t="n">
        <v>0</v>
      </c>
      <c r="D16" s="52" t="n">
        <v>117</v>
      </c>
      <c r="E16" s="52"/>
      <c r="F16" s="52" t="n">
        <v>7</v>
      </c>
      <c r="G16" s="52" t="n">
        <v>2</v>
      </c>
      <c r="H16" s="52" t="n">
        <v>100.4</v>
      </c>
      <c r="I16" s="52" t="n">
        <v>75.6</v>
      </c>
      <c r="J16" s="52" t="n">
        <v>6</v>
      </c>
      <c r="K16" s="52" t="n">
        <v>0</v>
      </c>
      <c r="L16" s="52" t="n">
        <v>105.7</v>
      </c>
      <c r="M16" s="52" t="n">
        <v>82.5</v>
      </c>
      <c r="N16" s="52" t="n">
        <v>3</v>
      </c>
      <c r="O16" s="52" t="n">
        <v>0</v>
      </c>
      <c r="P16" s="52" t="n">
        <v>106</v>
      </c>
      <c r="Q16" s="52" t="n">
        <v>82.7</v>
      </c>
      <c r="R16" s="52"/>
      <c r="S16" s="52"/>
      <c r="T16" s="52"/>
      <c r="U16" s="52"/>
      <c r="V16" s="52" t="n">
        <v>8</v>
      </c>
      <c r="W16" s="52" t="n">
        <v>1</v>
      </c>
      <c r="X16" s="52" t="n">
        <v>100.9</v>
      </c>
      <c r="Y16" s="52" t="n">
        <v>79</v>
      </c>
      <c r="Z16" s="52" t="n">
        <v>7</v>
      </c>
      <c r="AA16" s="52" t="n">
        <v>1</v>
      </c>
      <c r="AB16" s="52" t="n">
        <v>97.6</v>
      </c>
      <c r="AC16" s="52" t="n">
        <v>75.1</v>
      </c>
      <c r="AD16" s="52" t="n">
        <v>7</v>
      </c>
      <c r="AE16" s="52" t="n">
        <v>1</v>
      </c>
      <c r="AF16" s="52" t="n">
        <v>94.7</v>
      </c>
      <c r="AG16" s="52" t="n">
        <v>74.4</v>
      </c>
      <c r="AH16" s="52" t="n">
        <v>9</v>
      </c>
      <c r="AI16" s="52" t="n">
        <v>1</v>
      </c>
      <c r="AJ16" s="52" t="n">
        <v>99.4</v>
      </c>
      <c r="AK16" s="52" t="n">
        <v>81.1</v>
      </c>
      <c r="AL16" s="52" t="n">
        <v>8</v>
      </c>
      <c r="AM16" s="52" t="n">
        <v>1</v>
      </c>
      <c r="AN16" s="52" t="n">
        <v>95.5</v>
      </c>
      <c r="AO16" s="52" t="n">
        <v>77.5</v>
      </c>
    </row>
    <row r="17" customFormat="false" ht="15" hidden="false" customHeight="true" outlineLevel="0" collapsed="false">
      <c r="A17" s="51" t="s">
        <v>81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 t="n">
        <v>1</v>
      </c>
      <c r="AE17" s="52" t="n">
        <v>0</v>
      </c>
      <c r="AF17" s="52" t="n">
        <v>105</v>
      </c>
      <c r="AG17" s="52" t="n">
        <v>83</v>
      </c>
      <c r="AH17" s="52" t="n">
        <v>5</v>
      </c>
      <c r="AI17" s="52" t="n">
        <v>0</v>
      </c>
      <c r="AJ17" s="52" t="n">
        <v>99.8</v>
      </c>
      <c r="AK17" s="52" t="n">
        <v>77.8</v>
      </c>
      <c r="AL17" s="52" t="n">
        <v>5</v>
      </c>
      <c r="AM17" s="52" t="n">
        <v>0</v>
      </c>
      <c r="AN17" s="52" t="n">
        <v>99</v>
      </c>
      <c r="AO17" s="52" t="n">
        <v>81</v>
      </c>
    </row>
    <row r="18" customFormat="false" ht="15" hidden="false" customHeight="true" outlineLevel="0" collapsed="false">
      <c r="A18" s="51" t="s">
        <v>83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 t="n">
        <v>8</v>
      </c>
      <c r="W18" s="52" t="n">
        <v>0</v>
      </c>
      <c r="X18" s="52" t="n">
        <v>103.5</v>
      </c>
      <c r="Y18" s="52" t="n">
        <v>77.5</v>
      </c>
      <c r="Z18" s="52" t="n">
        <v>6</v>
      </c>
      <c r="AA18" s="52" t="n">
        <v>0</v>
      </c>
      <c r="AB18" s="52" t="n">
        <v>104.5</v>
      </c>
      <c r="AC18" s="52" t="n">
        <v>83.5</v>
      </c>
      <c r="AD18" s="52" t="n">
        <v>6</v>
      </c>
      <c r="AE18" s="52" t="n">
        <v>0</v>
      </c>
      <c r="AF18" s="52" t="n">
        <v>100.5</v>
      </c>
      <c r="AG18" s="52" t="n">
        <v>79.5</v>
      </c>
      <c r="AH18" s="52" t="n">
        <v>7</v>
      </c>
      <c r="AI18" s="52" t="n">
        <v>1</v>
      </c>
      <c r="AJ18" s="52" t="n">
        <v>101.1</v>
      </c>
      <c r="AK18" s="52" t="n">
        <v>79</v>
      </c>
      <c r="AL18" s="52" t="n">
        <v>10</v>
      </c>
      <c r="AM18" s="52" t="n">
        <v>1</v>
      </c>
      <c r="AN18" s="52" t="n">
        <v>98.4</v>
      </c>
      <c r="AO18" s="52" t="n">
        <v>78.6</v>
      </c>
    </row>
    <row r="19" customFormat="false" ht="15" hidden="false" customHeight="true" outlineLevel="0" collapsed="false">
      <c r="A19" s="51" t="s">
        <v>271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</row>
    <row r="20" customFormat="false" ht="15" hidden="false" customHeight="true" outlineLevel="0" collapsed="false">
      <c r="A20" s="51" t="s">
        <v>287</v>
      </c>
      <c r="B20" s="52" t="n">
        <v>4</v>
      </c>
      <c r="C20" s="52" t="n">
        <v>1</v>
      </c>
      <c r="D20" s="52" t="n">
        <v>100.7</v>
      </c>
      <c r="E20" s="52"/>
      <c r="F20" s="52" t="n">
        <v>5</v>
      </c>
      <c r="G20" s="52" t="n">
        <v>0</v>
      </c>
      <c r="H20" s="52" t="n">
        <v>102.8</v>
      </c>
      <c r="I20" s="52" t="n">
        <v>80.2</v>
      </c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</row>
    <row r="21" customFormat="false" ht="15" hidden="false" customHeight="true" outlineLevel="0" collapsed="false">
      <c r="A21" s="51" t="s">
        <v>288</v>
      </c>
      <c r="B21" s="52" t="n">
        <v>4</v>
      </c>
      <c r="C21" s="52" t="n">
        <v>0</v>
      </c>
      <c r="D21" s="52" t="n">
        <v>108.3</v>
      </c>
      <c r="E21" s="52"/>
      <c r="F21" s="52" t="n">
        <v>5</v>
      </c>
      <c r="G21" s="52" t="n">
        <v>0</v>
      </c>
      <c r="H21" s="52" t="n">
        <v>103.4</v>
      </c>
      <c r="I21" s="52" t="n">
        <v>83.2</v>
      </c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</row>
    <row r="22" customFormat="false" ht="15" hidden="false" customHeight="true" outlineLevel="0" collapsed="false">
      <c r="A22" s="51" t="s">
        <v>289</v>
      </c>
      <c r="B22" s="52"/>
      <c r="C22" s="52"/>
      <c r="D22" s="52"/>
      <c r="E22" s="52"/>
      <c r="F22" s="52" t="n">
        <v>8</v>
      </c>
      <c r="G22" s="52" t="n">
        <v>0</v>
      </c>
      <c r="H22" s="52" t="n">
        <v>97.5</v>
      </c>
      <c r="I22" s="52" t="n">
        <v>73.1</v>
      </c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</row>
    <row r="23" customFormat="false" ht="15" hidden="false" customHeight="true" outlineLevel="0" collapsed="false">
      <c r="A23" s="51" t="s">
        <v>290</v>
      </c>
      <c r="B23" s="52"/>
      <c r="C23" s="52"/>
      <c r="D23" s="52"/>
      <c r="E23" s="52"/>
      <c r="F23" s="52" t="n">
        <v>5</v>
      </c>
      <c r="G23" s="52" t="n">
        <v>0</v>
      </c>
      <c r="H23" s="52" t="n">
        <v>105.4</v>
      </c>
      <c r="I23" s="52" t="n">
        <v>80.4</v>
      </c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</row>
    <row r="24" customFormat="false" ht="15" hidden="false" customHeight="true" outlineLevel="0" collapsed="false">
      <c r="A24" s="51" t="s">
        <v>291</v>
      </c>
      <c r="B24" s="52"/>
      <c r="C24" s="52"/>
      <c r="D24" s="52"/>
      <c r="E24" s="52"/>
      <c r="F24" s="52" t="n">
        <v>6</v>
      </c>
      <c r="G24" s="52" t="n">
        <v>0</v>
      </c>
      <c r="H24" s="52" t="n">
        <v>98.3</v>
      </c>
      <c r="I24" s="52" t="n">
        <v>84.3</v>
      </c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  <c r="AO24" s="52"/>
    </row>
    <row r="25" customFormat="false" ht="15" hidden="false" customHeight="true" outlineLevel="0" collapsed="false">
      <c r="A25" s="51" t="s">
        <v>292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 t="n">
        <v>2</v>
      </c>
      <c r="O25" s="52" t="n">
        <v>1</v>
      </c>
      <c r="P25" s="52" t="n">
        <v>93</v>
      </c>
      <c r="Q25" s="52" t="n">
        <v>70</v>
      </c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</row>
    <row r="26" customFormat="false" ht="15" hidden="false" customHeight="true" outlineLevel="0" collapsed="false">
      <c r="A26" s="51" t="s">
        <v>293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 t="n">
        <v>1</v>
      </c>
      <c r="O26" s="52" t="n">
        <v>0</v>
      </c>
      <c r="P26" s="52" t="n">
        <v>103</v>
      </c>
      <c r="Q26" s="52" t="n">
        <v>82</v>
      </c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</row>
    <row r="27" customFormat="false" ht="15" hidden="false" customHeight="true" outlineLevel="0" collapsed="false">
      <c r="A27" s="51" t="s">
        <v>294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</row>
    <row r="28" customFormat="false" ht="15" hidden="false" customHeight="true" outlineLevel="0" collapsed="false">
      <c r="A28" s="51" t="s">
        <v>295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 t="n">
        <v>3</v>
      </c>
      <c r="W28" s="52" t="n">
        <v>1</v>
      </c>
      <c r="X28" s="52" t="n">
        <v>94.7</v>
      </c>
      <c r="Y28" s="52" t="n">
        <v>74.3</v>
      </c>
      <c r="Z28" s="52" t="n">
        <v>1</v>
      </c>
      <c r="AA28" s="52" t="n">
        <v>0</v>
      </c>
      <c r="AB28" s="52" t="n">
        <v>99</v>
      </c>
      <c r="AC28" s="52" t="n">
        <v>80</v>
      </c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</row>
    <row r="29" customFormat="false" ht="15" hidden="false" customHeight="true" outlineLevel="0" collapsed="false">
      <c r="A29" s="51" t="s">
        <v>296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 t="n">
        <v>1</v>
      </c>
      <c r="W29" s="52" t="n">
        <v>0</v>
      </c>
      <c r="X29" s="52" t="n">
        <v>92</v>
      </c>
      <c r="Y29" s="52" t="n">
        <v>77</v>
      </c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</row>
    <row r="30" customFormat="false" ht="15" hidden="false" customHeight="true" outlineLevel="0" collapsed="false">
      <c r="A30" s="51" t="s">
        <v>297</v>
      </c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 t="n">
        <v>4</v>
      </c>
      <c r="AA30" s="52" t="n">
        <v>0</v>
      </c>
      <c r="AB30" s="52" t="n">
        <v>112</v>
      </c>
      <c r="AC30" s="52" t="n">
        <v>87</v>
      </c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</row>
    <row r="31" customFormat="false" ht="15" hidden="false" customHeight="true" outlineLevel="0" collapsed="false">
      <c r="A31" s="51" t="s">
        <v>298</v>
      </c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 t="n">
        <v>2</v>
      </c>
      <c r="AA31" s="52" t="n">
        <v>0</v>
      </c>
      <c r="AB31" s="52" t="n">
        <v>90</v>
      </c>
      <c r="AC31" s="52" t="n">
        <v>70.5</v>
      </c>
      <c r="AD31" s="52" t="n">
        <v>6</v>
      </c>
      <c r="AE31" s="52" t="n">
        <v>1</v>
      </c>
      <c r="AF31" s="52" t="n">
        <v>93.5</v>
      </c>
      <c r="AG31" s="52" t="n">
        <v>76.3</v>
      </c>
      <c r="AH31" s="52"/>
      <c r="AI31" s="52"/>
      <c r="AJ31" s="52"/>
      <c r="AK31" s="52"/>
      <c r="AL31" s="52"/>
      <c r="AM31" s="52"/>
      <c r="AN31" s="52"/>
      <c r="AO31" s="52"/>
    </row>
    <row r="32" customFormat="false" ht="15" hidden="false" customHeight="true" outlineLevel="0" collapsed="false">
      <c r="A32" s="51" t="s">
        <v>299</v>
      </c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 t="n">
        <v>1</v>
      </c>
      <c r="AA32" s="52" t="n">
        <v>0</v>
      </c>
      <c r="AB32" s="52" t="n">
        <v>85</v>
      </c>
      <c r="AC32" s="52" t="n">
        <v>79</v>
      </c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</row>
    <row r="33" customFormat="false" ht="15" hidden="false" customHeight="true" outlineLevel="0" collapsed="false">
      <c r="A33" s="51" t="s">
        <v>300</v>
      </c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 t="n">
        <v>2</v>
      </c>
      <c r="AI33" s="52" t="n">
        <v>0</v>
      </c>
      <c r="AJ33" s="52" t="n">
        <v>102.5</v>
      </c>
      <c r="AK33" s="52" t="n">
        <v>83.5</v>
      </c>
      <c r="AL33" s="52"/>
      <c r="AM33" s="52"/>
      <c r="AN33" s="52"/>
      <c r="AO33" s="52"/>
    </row>
    <row r="34" customFormat="false" ht="15" hidden="false" customHeight="true" outlineLevel="0" collapsed="false">
      <c r="A34" s="51" t="s">
        <v>301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 t="n">
        <v>4</v>
      </c>
      <c r="AI34" s="52" t="n">
        <v>2</v>
      </c>
      <c r="AJ34" s="52" t="n">
        <v>87.8</v>
      </c>
      <c r="AK34" s="52" t="n">
        <v>72.5</v>
      </c>
      <c r="AL34" s="52" t="n">
        <v>3</v>
      </c>
      <c r="AM34" s="52" t="n">
        <v>0</v>
      </c>
      <c r="AN34" s="52" t="n">
        <v>89</v>
      </c>
      <c r="AO34" s="52" t="n">
        <v>77.3</v>
      </c>
    </row>
    <row r="35" customFormat="false" ht="15" hidden="false" customHeight="true" outlineLevel="0" collapsed="false">
      <c r="A35" s="51" t="s">
        <v>302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 t="n">
        <v>4</v>
      </c>
      <c r="AI35" s="52" t="n">
        <v>0</v>
      </c>
      <c r="AJ35" s="52" t="n">
        <v>110.8</v>
      </c>
      <c r="AK35" s="52" t="n">
        <v>84.8</v>
      </c>
      <c r="AL35" s="52" t="n">
        <v>2</v>
      </c>
      <c r="AM35" s="52" t="n">
        <v>0</v>
      </c>
      <c r="AN35" s="52" t="n">
        <v>98</v>
      </c>
      <c r="AO35" s="52" t="n">
        <v>75.5</v>
      </c>
    </row>
    <row r="36" customFormat="false" ht="15" hidden="false" customHeight="true" outlineLevel="0" collapsed="false">
      <c r="A36" s="51" t="s">
        <v>303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 t="n">
        <v>1</v>
      </c>
      <c r="AI36" s="52" t="n">
        <v>0</v>
      </c>
      <c r="AJ36" s="52" t="n">
        <v>92</v>
      </c>
      <c r="AK36" s="52" t="n">
        <v>82</v>
      </c>
      <c r="AL36" s="52"/>
      <c r="AM36" s="52"/>
      <c r="AN36" s="52"/>
      <c r="AO36" s="52"/>
    </row>
    <row r="37" customFormat="false" ht="15" hidden="false" customHeight="true" outlineLevel="0" collapsed="false">
      <c r="A37" s="51" t="s">
        <v>304</v>
      </c>
      <c r="B37" s="52"/>
      <c r="C37" s="52"/>
      <c r="D37" s="52"/>
      <c r="E37" s="52"/>
      <c r="F37" s="52"/>
      <c r="G37" s="52"/>
      <c r="H37" s="52"/>
      <c r="I37" s="52"/>
      <c r="J37" s="52" t="n">
        <v>3</v>
      </c>
      <c r="K37" s="52" t="n">
        <v>1</v>
      </c>
      <c r="L37" s="52" t="n">
        <v>90</v>
      </c>
      <c r="M37" s="52" t="n">
        <v>77</v>
      </c>
      <c r="N37" s="52" t="n">
        <v>2</v>
      </c>
      <c r="O37" s="52" t="n">
        <v>0</v>
      </c>
      <c r="P37" s="52" t="n">
        <v>96.5</v>
      </c>
      <c r="Q37" s="52" t="n">
        <v>84.5</v>
      </c>
      <c r="R37" s="52"/>
      <c r="S37" s="52"/>
      <c r="T37" s="52"/>
      <c r="U37" s="52"/>
      <c r="V37" s="52"/>
      <c r="W37" s="52"/>
      <c r="X37" s="52"/>
      <c r="Y37" s="52"/>
      <c r="Z37" s="52" t="n">
        <v>1</v>
      </c>
      <c r="AA37" s="52" t="n">
        <v>1</v>
      </c>
      <c r="AB37" s="52" t="n">
        <v>83</v>
      </c>
      <c r="AC37" s="52" t="n">
        <v>67</v>
      </c>
      <c r="AD37" s="52"/>
      <c r="AE37" s="52"/>
      <c r="AF37" s="52"/>
      <c r="AG37" s="52"/>
      <c r="AH37" s="52" t="n">
        <v>2</v>
      </c>
      <c r="AI37" s="52" t="n">
        <v>0</v>
      </c>
      <c r="AJ37" s="52" t="n">
        <v>89</v>
      </c>
      <c r="AK37" s="52" t="n">
        <v>74.5</v>
      </c>
      <c r="AL37" s="52" t="n">
        <v>2</v>
      </c>
      <c r="AM37" s="52" t="n">
        <v>0</v>
      </c>
      <c r="AN37" s="52" t="n">
        <v>89.5</v>
      </c>
      <c r="AO37" s="52" t="n">
        <v>77.5</v>
      </c>
    </row>
    <row r="38" customFormat="false" ht="15" hidden="false" customHeight="true" outlineLevel="0" collapsed="false">
      <c r="A38" s="51" t="s">
        <v>305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 t="n">
        <v>1</v>
      </c>
      <c r="AI38" s="52" t="n">
        <v>0</v>
      </c>
      <c r="AJ38" s="52" t="n">
        <v>82</v>
      </c>
      <c r="AK38" s="52" t="n">
        <v>71</v>
      </c>
      <c r="AL38" s="52"/>
      <c r="AM38" s="52"/>
      <c r="AN38" s="52"/>
      <c r="AO38" s="52"/>
    </row>
    <row r="39" customFormat="false" ht="15" hidden="false" customHeight="true" outlineLevel="0" collapsed="false">
      <c r="A39" s="51" t="s">
        <v>306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 t="n">
        <v>1</v>
      </c>
      <c r="AM39" s="52" t="n">
        <v>0</v>
      </c>
      <c r="AN39" s="52" t="n">
        <v>95</v>
      </c>
      <c r="AO39" s="52" t="n">
        <v>77</v>
      </c>
    </row>
  </sheetData>
  <mergeCells count="10">
    <mergeCell ref="B1:E1"/>
    <mergeCell ref="F1:I1"/>
    <mergeCell ref="J1:M1"/>
    <mergeCell ref="N1:Q1"/>
    <mergeCell ref="R1:U1"/>
    <mergeCell ref="V1:Y1"/>
    <mergeCell ref="Z1:AC1"/>
    <mergeCell ref="AD1:AG1"/>
    <mergeCell ref="AH1:AK1"/>
    <mergeCell ref="AL1:A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2026-05-11T21:38:15Z</dcterms:created>
  <dc:creator>openpyxl</dc:creator>
  <dc:description/>
  <dc:language>en-US</dc:language>
  <cp:lastModifiedBy>Francisco Benegas</cp:lastModifiedBy>
  <dcterms:modified xsi:type="dcterms:W3CDTF">2026-10-10T22:48:20Z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